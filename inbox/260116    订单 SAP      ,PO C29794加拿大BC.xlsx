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240911 WORK 备份\越南工业+++++\BC 加拿大BROOK-7160\260116 U29792,29794 加拿大BC SAP\"/>
    </mc:Choice>
  </mc:AlternateContent>
  <bookViews>
    <workbookView xWindow="0" yWindow="0" windowWidth="27948" windowHeight="11928"/>
  </bookViews>
  <sheets>
    <sheet name="不拆分" sheetId="3" r:id="rId1"/>
    <sheet name="Sheet2" sheetId="2" state="hidden" r:id="rId2"/>
  </sheets>
  <externalReferences>
    <externalReference r:id="rId3"/>
  </externalReferences>
  <definedNames>
    <definedName name="_xlnm._FilterDatabase" localSheetId="1" hidden="1">Sheet2!$R$13:$T$36</definedName>
    <definedName name="_xlnm._FilterDatabase" localSheetId="0" hidden="1">不拆分!$A$2:$P$38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3" l="1"/>
  <c r="K32" i="3" l="1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34" i="3" l="1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T36" i="2"/>
  <c r="D36" i="2"/>
  <c r="T35" i="2"/>
  <c r="D35" i="2"/>
  <c r="T34" i="2"/>
  <c r="D34" i="2"/>
  <c r="T33" i="2"/>
  <c r="D33" i="2"/>
  <c r="T32" i="2"/>
  <c r="D32" i="2"/>
  <c r="T31" i="2"/>
  <c r="D31" i="2"/>
  <c r="T30" i="2"/>
  <c r="D30" i="2"/>
  <c r="T29" i="2"/>
  <c r="D29" i="2"/>
  <c r="T28" i="2"/>
  <c r="D28" i="2"/>
  <c r="T27" i="2"/>
  <c r="D27" i="2"/>
  <c r="T26" i="2"/>
  <c r="D26" i="2"/>
  <c r="T25" i="2"/>
  <c r="D25" i="2"/>
  <c r="T24" i="2"/>
  <c r="D24" i="2"/>
  <c r="T23" i="2"/>
  <c r="D23" i="2"/>
  <c r="T22" i="2"/>
  <c r="D22" i="2"/>
  <c r="T21" i="2"/>
  <c r="D21" i="2"/>
  <c r="T20" i="2"/>
  <c r="D20" i="2"/>
  <c r="T19" i="2"/>
  <c r="D19" i="2"/>
  <c r="T18" i="2"/>
  <c r="D18" i="2"/>
  <c r="T17" i="2"/>
  <c r="D17" i="2"/>
  <c r="T16" i="2"/>
  <c r="D16" i="2"/>
  <c r="T15" i="2"/>
  <c r="D15" i="2"/>
  <c r="T14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<sst xmlns="http://schemas.openxmlformats.org/spreadsheetml/2006/main" count="258" uniqueCount="202">
  <si>
    <t xml:space="preserve">BC PO: </t>
  </si>
  <si>
    <t>Item</t>
  </si>
  <si>
    <t>物料号码</t>
  </si>
  <si>
    <t>PO</t>
  </si>
  <si>
    <t>Stock No</t>
  </si>
  <si>
    <t>铭牌型号</t>
  </si>
  <si>
    <t>客户描述</t>
  </si>
  <si>
    <t>计划交期</t>
  </si>
  <si>
    <t>数量</t>
  </si>
  <si>
    <t>单价</t>
  </si>
  <si>
    <t>总价</t>
  </si>
  <si>
    <t>LBC000075100</t>
  </si>
  <si>
    <t>规格</t>
  </si>
  <si>
    <t>LBA000003800</t>
  </si>
  <si>
    <t>BA4N1.5V4C_WPN-DA145TSP-4C_1.5HP_60Hz_23</t>
  </si>
  <si>
    <t>LBA000019900</t>
  </si>
  <si>
    <t>BA6N003V4_倒装左下_213T_3HP_230/460V_60Hz_1.</t>
  </si>
  <si>
    <t>LBC000005200</t>
  </si>
  <si>
    <t>BC6N001V4_倒装左下_145T_1HP_230/460V_60Hz_..</t>
  </si>
  <si>
    <t>LBC000004900</t>
  </si>
  <si>
    <t>BC4N002V4_倒装左下_145T_2HP_230/460V_60Hz_..</t>
  </si>
  <si>
    <t>LBF000002300</t>
  </si>
  <si>
    <t>BF4N.50V2_W-DA56TC3-4_0.5HP_60Hz_208-230</t>
  </si>
  <si>
    <t>LBA000008800</t>
  </si>
  <si>
    <t>BA4M1.5V4_WPN-DA90SP-4_1.5HP_60Hz_230/46</t>
  </si>
  <si>
    <t>LBC000038900</t>
  </si>
  <si>
    <t>BC4N040V4_WPN-DF324TJ-4_40HP_60HZ_230/46</t>
  </si>
  <si>
    <t>LBA000003700</t>
  </si>
  <si>
    <t>LBA000010600</t>
  </si>
  <si>
    <t>LBA000020000</t>
  </si>
  <si>
    <t>LBA000040200</t>
  </si>
  <si>
    <t>LBA000051000</t>
  </si>
  <si>
    <t>LBA000075800</t>
  </si>
  <si>
    <t>PD</t>
  </si>
  <si>
    <t>VN1</t>
  </si>
  <si>
    <t>EX</t>
  </si>
  <si>
    <t>LBC000020500</t>
  </si>
  <si>
    <t>LBA000087000</t>
  </si>
  <si>
    <t>LBA000088800</t>
  </si>
  <si>
    <t>LBC000026700</t>
  </si>
  <si>
    <t>LBC000011500</t>
  </si>
  <si>
    <t>LBA000092700</t>
  </si>
  <si>
    <t>LBC000003000</t>
  </si>
  <si>
    <t>LBC000056700</t>
  </si>
  <si>
    <t>LBC000063800</t>
  </si>
  <si>
    <t>LBC000026600</t>
  </si>
  <si>
    <t>LBF000004600</t>
  </si>
  <si>
    <t>LBC000026800</t>
  </si>
  <si>
    <t>LBC000069600</t>
  </si>
  <si>
    <t>LBC000011300</t>
  </si>
  <si>
    <t>LBC000073700</t>
  </si>
  <si>
    <t>LBC000003100</t>
  </si>
  <si>
    <t>LBC000073800</t>
  </si>
  <si>
    <t>LBC000012100</t>
  </si>
  <si>
    <t>LBC000073900</t>
  </si>
  <si>
    <t>LBC000008500</t>
  </si>
  <si>
    <t>LBC000074000</t>
  </si>
  <si>
    <t>LBC000018800</t>
  </si>
  <si>
    <t>LBC000074100</t>
  </si>
  <si>
    <t>LBC000022000</t>
  </si>
  <si>
    <t>LBC000074200</t>
  </si>
  <si>
    <t>LBC000025500</t>
  </si>
  <si>
    <t>LBC000074300</t>
  </si>
  <si>
    <t>LBC000000300</t>
  </si>
  <si>
    <t>LBC000074400</t>
  </si>
  <si>
    <t>LBC000021600</t>
  </si>
  <si>
    <t>LBC000074500</t>
  </si>
  <si>
    <t>LBA000048900</t>
  </si>
  <si>
    <t>LBC000074600</t>
  </si>
  <si>
    <t>LBA000004500</t>
  </si>
  <si>
    <t>LBC000074700</t>
  </si>
  <si>
    <t>LBA000004700</t>
  </si>
  <si>
    <t>LBC000074800</t>
  </si>
  <si>
    <t>LBA000010100</t>
  </si>
  <si>
    <t>LBC000074900</t>
  </si>
  <si>
    <t>LBA000052200</t>
  </si>
  <si>
    <t>LBC000075000</t>
  </si>
  <si>
    <t>LBA000020600</t>
  </si>
  <si>
    <t>LBA000020800</t>
  </si>
  <si>
    <t>LBA000029600</t>
  </si>
  <si>
    <t>LBA000020300</t>
  </si>
  <si>
    <t>LBA000020500</t>
  </si>
  <si>
    <t>LBA000017700</t>
  </si>
  <si>
    <t>LBA000017300</t>
  </si>
  <si>
    <t>LBA000017800</t>
  </si>
  <si>
    <t>LBA000017900</t>
  </si>
  <si>
    <t>LBA000015800</t>
  </si>
  <si>
    <t>LBC000003200</t>
  </si>
  <si>
    <t>LBC000002500</t>
  </si>
  <si>
    <t>LBC000023300</t>
  </si>
  <si>
    <t>LBC000021200</t>
  </si>
  <si>
    <t>LBC000019800</t>
  </si>
  <si>
    <t>LBC000007401</t>
  </si>
  <si>
    <t>LBC000019200</t>
  </si>
  <si>
    <t>加拿大BROOK订单</t>
    <phoneticPr fontId="8" type="noConversion"/>
  </si>
  <si>
    <t>备注</t>
    <phoneticPr fontId="8" type="noConversion"/>
  </si>
  <si>
    <t>SAP订单号:</t>
    <phoneticPr fontId="8" type="noConversion"/>
  </si>
  <si>
    <t>日期：2026-1-16</t>
    <phoneticPr fontId="8" type="noConversion"/>
  </si>
  <si>
    <t>C29794  加拿大BC</t>
    <phoneticPr fontId="8" type="noConversion"/>
  </si>
  <si>
    <t>BC6N025V4C</t>
  </si>
  <si>
    <t>BC6N030V4C</t>
  </si>
  <si>
    <t>BC2N040V4C-188</t>
  </si>
  <si>
    <t>BC2N040V4JM</t>
  </si>
  <si>
    <t>BC4N040V4JP</t>
  </si>
  <si>
    <t>BC6N040V4C</t>
  </si>
  <si>
    <t>BC6N040V4C-188</t>
  </si>
  <si>
    <t>BC2N050V4C</t>
  </si>
  <si>
    <t>BC2N050V4JM</t>
  </si>
  <si>
    <t>BC4N050V4C</t>
  </si>
  <si>
    <t>BC4N050V4C-188</t>
  </si>
  <si>
    <t>BC4N060V4C</t>
  </si>
  <si>
    <t>BC2N075V4C</t>
  </si>
  <si>
    <t>BC4N075V4C</t>
  </si>
  <si>
    <t>BC4N075V4C-188</t>
  </si>
  <si>
    <t>BC2N100V4C</t>
  </si>
  <si>
    <t>BC4N200V9</t>
  </si>
  <si>
    <t>BC4N200V9C</t>
  </si>
  <si>
    <t>BC2M040V4D</t>
  </si>
  <si>
    <t>BC4M050V4</t>
  </si>
  <si>
    <t>BC6M050V4D</t>
  </si>
  <si>
    <t>BC4M075V4</t>
  </si>
  <si>
    <t>BC4M100V4</t>
  </si>
  <si>
    <t>BC6N075V4</t>
  </si>
  <si>
    <t>BC2N150V9</t>
  </si>
  <si>
    <t>BC2N200V9</t>
  </si>
  <si>
    <t>BC6M040V4D</t>
  </si>
  <si>
    <t>BC2M075V4</t>
  </si>
  <si>
    <t>BC2M125V9</t>
  </si>
  <si>
    <t>BC4M125V9</t>
  </si>
  <si>
    <t>C29794</t>
    <phoneticPr fontId="8" type="noConversion"/>
  </si>
  <si>
    <t>LBC000050000</t>
  </si>
  <si>
    <t>WPN-DF324TG-6C</t>
  </si>
  <si>
    <t>25HP 1200 324TC PE 230/460/3/60</t>
  </si>
  <si>
    <t>LBC000056600</t>
  </si>
  <si>
    <t>WPN-DF326TP-6C</t>
  </si>
  <si>
    <t>30HP 1200 326TC PE
230/460/3/60</t>
  </si>
  <si>
    <t>需要物料号</t>
    <phoneticPr fontId="8" type="noConversion"/>
  </si>
  <si>
    <t>LBC000050300</t>
  </si>
  <si>
    <t>WPN-DF324TSG-2</t>
  </si>
  <si>
    <t>40HP 3600 324JM PE 230/460/3/60</t>
  </si>
  <si>
    <t>WPN-DF324TJ-4C</t>
  </si>
  <si>
    <t>40HP 1800 324JP PE 230/460/3/60</t>
  </si>
  <si>
    <t>LBC000059100</t>
  </si>
  <si>
    <t>WPN-DF364TF-6C</t>
  </si>
  <si>
    <t>40HP 1200 364TC PE 230/460/3/60</t>
  </si>
  <si>
    <t>LBC000059200</t>
  </si>
  <si>
    <t>40HP 1200 364TC PE 230/460/3/60 4 FEET</t>
  </si>
  <si>
    <t>LBC000057000</t>
  </si>
  <si>
    <t>WPN-DF326TSL-2C</t>
  </si>
  <si>
    <t>50HP 3600 326TSC PE
230/460/3/60</t>
  </si>
  <si>
    <t>LBC000051400</t>
  </si>
  <si>
    <t>WPN-DF326TW-4C</t>
  </si>
  <si>
    <t>50HP 1800 326TC PE 230/460/3/60</t>
  </si>
  <si>
    <t>LBC000051500</t>
  </si>
  <si>
    <t>50HP 1800 326TC PE 230/460/3/60 4 FEET</t>
  </si>
  <si>
    <t>LBC000057400</t>
  </si>
  <si>
    <t>WPN-DF364TM-4C</t>
  </si>
  <si>
    <t>60HP 1800 364TC PE
230/460/3/60</t>
  </si>
  <si>
    <t>LBC000057600</t>
  </si>
  <si>
    <t>WPN-DF365TSR-2</t>
  </si>
  <si>
    <t>75HP 3600 365TSC PE
230/460/3/60</t>
  </si>
  <si>
    <t>LBC000065100</t>
  </si>
  <si>
    <t>WPN-DF365TW-4C</t>
  </si>
  <si>
    <t>75HP 1800 365TC PE 230/460/3/60</t>
  </si>
  <si>
    <t>LBC000063602</t>
  </si>
  <si>
    <t>WPN-DF405TSK-2C</t>
  </si>
  <si>
    <t>100HP 3600 405TSC PE 230/460/3/60</t>
  </si>
  <si>
    <t>LBC000062303</t>
  </si>
  <si>
    <t>WPN-DF447TW-4C</t>
  </si>
  <si>
    <t>200HP 1800 447TC PE 460/3/60</t>
  </si>
  <si>
    <t>LBC000060120</t>
  </si>
  <si>
    <t>WPN-DF200LG-2D</t>
  </si>
  <si>
    <t>40HP 3600 200LD PE 230/460/3/60</t>
  </si>
  <si>
    <t>LBC000053800</t>
  </si>
  <si>
    <t>WPN-DF225SW-4</t>
  </si>
  <si>
    <t>50HP 1800 225S PE 230/460/3/60</t>
  </si>
  <si>
    <t>WPN-DF250SP-6D</t>
  </si>
  <si>
    <t>50HP 1200 250MD PE 230/460/3/60</t>
  </si>
  <si>
    <t>LBC000065800</t>
  </si>
  <si>
    <t>WPN-DF250SW-4</t>
  </si>
  <si>
    <t>75HP 1800 250S PE 230/460/3/60</t>
  </si>
  <si>
    <t>LBC000052000</t>
  </si>
  <si>
    <t>WPN-DF280SX-4</t>
  </si>
  <si>
    <t>100HP 1800 280S PE 230/460/3/60</t>
  </si>
  <si>
    <t>LBC000065200</t>
  </si>
  <si>
    <t>WPN-DF405TW-6</t>
  </si>
  <si>
    <t>75HP 1200 405T PE  230/460/3/60</t>
  </si>
  <si>
    <t>LBC000069500</t>
  </si>
  <si>
    <t>WPN-DF445TSL-2</t>
  </si>
  <si>
    <t>150HP 3600 445TS PE  460 3 60 TEFC</t>
  </si>
  <si>
    <t>WPN-DF447TSR-2</t>
  </si>
  <si>
    <t>200HP 3600 447TS PE 460/3/60</t>
  </si>
  <si>
    <t>WPN-DF225MF-6D</t>
  </si>
  <si>
    <t>40HP 1200 225MD PE 230/460/3/60</t>
  </si>
  <si>
    <t>LBC000066000</t>
  </si>
  <si>
    <t>WPN-DF250SR-2</t>
  </si>
  <si>
    <t>75HP 3600 250S PE 230/460/3/60</t>
  </si>
  <si>
    <t>WPN-DF280MD-2</t>
  </si>
  <si>
    <t>125HP 3600 280ME PE  230/460/3/60</t>
  </si>
  <si>
    <t>LBC000066300</t>
  </si>
  <si>
    <t>WPN-DF280MK-4</t>
  </si>
  <si>
    <t>125HP 1800 280M PE 460/3/60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</si>
</sst>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\$#,##0.00;\-\$#,##0.00"/>
  </numFmts>
  <fonts count="10" x14ac:knownFonts="1">
    <font>
      <sz val="11"/>
      <color theme="1"/>
      <name val="宋体"/>
      <charset val="134"/>
      <scheme val="minor"/>
    </font>
    <font>
      <b/>
      <sz val="12"/>
      <name val="微软雅黑"/>
      <family val="2"/>
      <charset val="134"/>
    </font>
    <font>
      <sz val="10"/>
      <name val="Arial"/>
      <family val="2"/>
    </font>
    <font>
      <sz val="12"/>
      <name val="微软雅黑"/>
      <family val="2"/>
      <charset val="134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7" fillId="0" borderId="0"/>
  </cellStyleXfs>
  <cellXfs count="2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/>
    </xf>
    <xf numFmtId="0" fontId="3" fillId="3" borderId="0" xfId="1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176" fontId="0" fillId="0" borderId="0" xfId="0" applyNumberFormat="1" applyFill="1">
      <alignment vertical="center"/>
    </xf>
    <xf numFmtId="0" fontId="5" fillId="0" borderId="2" xfId="0" applyFont="1" applyFill="1" applyBorder="1" applyAlignment="1">
      <alignment horizontal="right" vertical="center"/>
    </xf>
    <xf numFmtId="0" fontId="3" fillId="0" borderId="3" xfId="1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14" fontId="3" fillId="0" borderId="1" xfId="1" applyNumberFormat="1" applyFont="1" applyFill="1" applyBorder="1" applyAlignment="1">
      <alignment horizontal="center" vertical="center" wrapText="1"/>
    </xf>
    <xf numFmtId="176" fontId="1" fillId="0" borderId="1" xfId="1" applyNumberFormat="1" applyFont="1" applyFill="1" applyBorder="1" applyAlignment="1">
      <alignment horizontal="center" vertical="center" wrapText="1"/>
    </xf>
    <xf numFmtId="177" fontId="1" fillId="0" borderId="1" xfId="1" applyNumberFormat="1" applyFont="1" applyFill="1" applyBorder="1" applyAlignment="1">
      <alignment horizontal="center" vertical="center" wrapText="1"/>
    </xf>
    <xf numFmtId="0" fontId="3" fillId="0" borderId="0" xfId="1" applyFont="1" applyFill="1" applyAlignment="1">
      <alignment horizontal="center" vertical="center" wrapText="1"/>
    </xf>
    <xf numFmtId="176" fontId="3" fillId="0" borderId="1" xfId="1" applyNumberFormat="1" applyFont="1" applyFill="1" applyBorder="1" applyAlignment="1">
      <alignment horizontal="center" vertical="center" wrapText="1"/>
    </xf>
    <xf numFmtId="177" fontId="3" fillId="0" borderId="1" xfId="1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4" fontId="3" fillId="0" borderId="0" xfId="1" applyNumberFormat="1" applyFont="1" applyFill="1" applyBorder="1" applyAlignment="1">
      <alignment horizontal="center" vertical="center" wrapText="1"/>
    </xf>
    <xf numFmtId="176" fontId="3" fillId="0" borderId="0" xfId="1" applyNumberFormat="1" applyFont="1" applyFill="1" applyBorder="1" applyAlignment="1">
      <alignment horizontal="center" vertical="center" wrapText="1"/>
    </xf>
    <xf numFmtId="0" fontId="4" fillId="0" borderId="2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/>
    </xf>
  </cellXfs>
  <cellStyles count="3">
    <cellStyle name="常规" xfId="0" builtinId="0"/>
    <cellStyle name="常规 10" xfId="1"/>
    <cellStyle name="常规 3" xfId="2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XJW\Desktop\BOM\1261%20BOM%20202505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 0509"/>
      <sheetName val="BOM 0522 检查BC 旧料号"/>
    </sheetNames>
    <sheetDataSet>
      <sheetData sheetId="0"/>
      <sheetData sheetId="1">
        <row r="1">
          <cell r="B1" t="str">
            <v>头层物料</v>
          </cell>
        </row>
        <row r="2">
          <cell r="B2" t="str">
            <v>LBA000003700</v>
          </cell>
        </row>
        <row r="3">
          <cell r="B3" t="str">
            <v>LBA000003700</v>
          </cell>
        </row>
        <row r="4">
          <cell r="B4" t="str">
            <v>LBA000003700</v>
          </cell>
        </row>
        <row r="5">
          <cell r="B5" t="str">
            <v>LBA000003700</v>
          </cell>
        </row>
        <row r="6">
          <cell r="B6" t="str">
            <v>LBA000003800</v>
          </cell>
        </row>
        <row r="7">
          <cell r="B7" t="str">
            <v>LBA000003800</v>
          </cell>
        </row>
        <row r="8">
          <cell r="B8" t="str">
            <v>LBA000003800</v>
          </cell>
        </row>
        <row r="9">
          <cell r="B9" t="str">
            <v>LBA000003800</v>
          </cell>
        </row>
        <row r="10">
          <cell r="B10" t="str">
            <v>LBA000004500</v>
          </cell>
        </row>
        <row r="11">
          <cell r="B11" t="str">
            <v>LBA000004500</v>
          </cell>
        </row>
        <row r="12">
          <cell r="B12" t="str">
            <v>LBA000004500</v>
          </cell>
        </row>
        <row r="13">
          <cell r="B13" t="str">
            <v>LBA000004500</v>
          </cell>
        </row>
        <row r="14">
          <cell r="B14" t="str">
            <v>LBA000004700</v>
          </cell>
        </row>
        <row r="15">
          <cell r="B15" t="str">
            <v>LBA000004700</v>
          </cell>
        </row>
        <row r="16">
          <cell r="B16" t="str">
            <v>LBA000004700</v>
          </cell>
        </row>
        <row r="17">
          <cell r="B17" t="str">
            <v>LBA000004700</v>
          </cell>
        </row>
        <row r="18">
          <cell r="B18" t="str">
            <v>LBA000008800</v>
          </cell>
        </row>
        <row r="19">
          <cell r="B19" t="str">
            <v>LBA000008800</v>
          </cell>
        </row>
        <row r="20">
          <cell r="B20" t="str">
            <v>LBA000008800</v>
          </cell>
        </row>
        <row r="21">
          <cell r="B21" t="str">
            <v>LBA000008800</v>
          </cell>
        </row>
        <row r="22">
          <cell r="B22" t="str">
            <v>LBA000010100</v>
          </cell>
        </row>
        <row r="23">
          <cell r="B23" t="str">
            <v>LBA000010100</v>
          </cell>
        </row>
        <row r="24">
          <cell r="B24" t="str">
            <v>LBA000010100</v>
          </cell>
        </row>
        <row r="25">
          <cell r="B25" t="str">
            <v>LBA000010100</v>
          </cell>
        </row>
        <row r="26">
          <cell r="B26" t="str">
            <v>LBA000010600</v>
          </cell>
        </row>
        <row r="27">
          <cell r="B27" t="str">
            <v>LBA000010600</v>
          </cell>
        </row>
        <row r="28">
          <cell r="B28" t="str">
            <v>LBA000010600</v>
          </cell>
        </row>
        <row r="29">
          <cell r="B29" t="str">
            <v>LBA000010600</v>
          </cell>
        </row>
        <row r="30">
          <cell r="B30" t="str">
            <v>LBA000015800</v>
          </cell>
        </row>
        <row r="31">
          <cell r="B31" t="str">
            <v>LBA000015800</v>
          </cell>
        </row>
        <row r="32">
          <cell r="B32" t="str">
            <v>LBA000015800</v>
          </cell>
        </row>
        <row r="33">
          <cell r="B33" t="str">
            <v>LBA000015800</v>
          </cell>
        </row>
        <row r="34">
          <cell r="B34" t="str">
            <v>LBA000017300</v>
          </cell>
        </row>
        <row r="35">
          <cell r="B35" t="str">
            <v>LBA000017300</v>
          </cell>
        </row>
        <row r="36">
          <cell r="B36" t="str">
            <v>LBA000017300</v>
          </cell>
        </row>
        <row r="37">
          <cell r="B37" t="str">
            <v>LBA000017300</v>
          </cell>
        </row>
        <row r="38">
          <cell r="B38" t="str">
            <v>LBA000017700</v>
          </cell>
        </row>
        <row r="39">
          <cell r="B39" t="str">
            <v>LBA000017700</v>
          </cell>
        </row>
        <row r="40">
          <cell r="B40" t="str">
            <v>LBA000017700</v>
          </cell>
        </row>
        <row r="41">
          <cell r="B41" t="str">
            <v>LBA000017700</v>
          </cell>
        </row>
        <row r="42">
          <cell r="B42" t="str">
            <v>LBA000017800</v>
          </cell>
        </row>
        <row r="43">
          <cell r="B43" t="str">
            <v>LBA000017800</v>
          </cell>
        </row>
        <row r="44">
          <cell r="B44" t="str">
            <v>LBA000017800</v>
          </cell>
        </row>
        <row r="45">
          <cell r="B45" t="str">
            <v>LBA000017800</v>
          </cell>
        </row>
        <row r="46">
          <cell r="B46" t="str">
            <v>LBA000017900</v>
          </cell>
        </row>
        <row r="47">
          <cell r="B47" t="str">
            <v>LBA000017900</v>
          </cell>
        </row>
        <row r="48">
          <cell r="B48" t="str">
            <v>LBA000017900</v>
          </cell>
        </row>
        <row r="49">
          <cell r="B49" t="str">
            <v>LBA000017900</v>
          </cell>
        </row>
        <row r="50">
          <cell r="B50" t="str">
            <v>LBA000019900</v>
          </cell>
        </row>
        <row r="51">
          <cell r="B51" t="str">
            <v>LBA000019900</v>
          </cell>
        </row>
        <row r="52">
          <cell r="B52" t="str">
            <v>LBA000019900</v>
          </cell>
        </row>
        <row r="53">
          <cell r="B53" t="str">
            <v>LBA000019900</v>
          </cell>
        </row>
        <row r="54">
          <cell r="B54" t="str">
            <v>LBA000020000</v>
          </cell>
        </row>
        <row r="55">
          <cell r="B55" t="str">
            <v>LBA000020000</v>
          </cell>
        </row>
        <row r="56">
          <cell r="B56" t="str">
            <v>LBA000020000</v>
          </cell>
        </row>
        <row r="57">
          <cell r="B57" t="str">
            <v>LBA000020000</v>
          </cell>
        </row>
        <row r="58">
          <cell r="B58" t="str">
            <v>LBA000020300</v>
          </cell>
        </row>
        <row r="59">
          <cell r="B59" t="str">
            <v>LBA000020300</v>
          </cell>
        </row>
        <row r="60">
          <cell r="B60" t="str">
            <v>LBA000020300</v>
          </cell>
        </row>
        <row r="61">
          <cell r="B61" t="str">
            <v>LBA000020300</v>
          </cell>
        </row>
        <row r="62">
          <cell r="B62" t="str">
            <v>LBA000020500</v>
          </cell>
        </row>
        <row r="63">
          <cell r="B63" t="str">
            <v>LBA000020500</v>
          </cell>
        </row>
        <row r="64">
          <cell r="B64" t="str">
            <v>LBA000020500</v>
          </cell>
        </row>
        <row r="65">
          <cell r="B65" t="str">
            <v>LBA000020500</v>
          </cell>
        </row>
        <row r="66">
          <cell r="B66" t="str">
            <v>LBA000020600</v>
          </cell>
        </row>
        <row r="67">
          <cell r="B67" t="str">
            <v>LBA000020600</v>
          </cell>
        </row>
        <row r="68">
          <cell r="B68" t="str">
            <v>LBA000020600</v>
          </cell>
        </row>
        <row r="69">
          <cell r="B69" t="str">
            <v>LBA000020600</v>
          </cell>
        </row>
        <row r="70">
          <cell r="B70" t="str">
            <v>LBA000020800</v>
          </cell>
        </row>
        <row r="71">
          <cell r="B71" t="str">
            <v>LBA000020800</v>
          </cell>
        </row>
        <row r="72">
          <cell r="B72" t="str">
            <v>LBA000020800</v>
          </cell>
        </row>
        <row r="73">
          <cell r="B73" t="str">
            <v>LBA000020800</v>
          </cell>
        </row>
        <row r="74">
          <cell r="B74" t="str">
            <v>LBA000029600</v>
          </cell>
        </row>
        <row r="75">
          <cell r="B75" t="str">
            <v>LBA000029600</v>
          </cell>
        </row>
        <row r="76">
          <cell r="B76" t="str">
            <v>LBA000029600</v>
          </cell>
        </row>
        <row r="77">
          <cell r="B77" t="str">
            <v>LBA000029600</v>
          </cell>
        </row>
        <row r="78">
          <cell r="B78" t="str">
            <v>LBA000040200</v>
          </cell>
        </row>
        <row r="79">
          <cell r="B79" t="str">
            <v>LBA000040200</v>
          </cell>
        </row>
        <row r="80">
          <cell r="B80" t="str">
            <v>LBA000040200</v>
          </cell>
        </row>
        <row r="81">
          <cell r="B81" t="str">
            <v>LBA000040200</v>
          </cell>
        </row>
        <row r="82">
          <cell r="B82" t="str">
            <v>LBA000048900</v>
          </cell>
        </row>
        <row r="83">
          <cell r="B83" t="str">
            <v>LBA000048900</v>
          </cell>
        </row>
        <row r="84">
          <cell r="B84" t="str">
            <v>LBA000048900</v>
          </cell>
        </row>
        <row r="85">
          <cell r="B85" t="str">
            <v>LBA000048900</v>
          </cell>
        </row>
        <row r="86">
          <cell r="B86" t="str">
            <v>LBA000051000</v>
          </cell>
        </row>
        <row r="87">
          <cell r="B87" t="str">
            <v>LBA000051000</v>
          </cell>
        </row>
        <row r="88">
          <cell r="B88" t="str">
            <v>LBA000051000</v>
          </cell>
        </row>
        <row r="89">
          <cell r="B89" t="str">
            <v>LBA000051000</v>
          </cell>
        </row>
        <row r="90">
          <cell r="B90" t="str">
            <v>LBA000052200</v>
          </cell>
        </row>
        <row r="91">
          <cell r="B91" t="str">
            <v>LBA000052200</v>
          </cell>
        </row>
        <row r="92">
          <cell r="B92" t="str">
            <v>LBA000052200</v>
          </cell>
        </row>
        <row r="93">
          <cell r="B93" t="str">
            <v>LBA000052200</v>
          </cell>
        </row>
        <row r="94">
          <cell r="B94" t="str">
            <v>LBC000000300</v>
          </cell>
        </row>
        <row r="95">
          <cell r="B95" t="str">
            <v>LBC000000300</v>
          </cell>
        </row>
        <row r="96">
          <cell r="B96" t="str">
            <v>LBC000000300</v>
          </cell>
        </row>
        <row r="97">
          <cell r="B97" t="str">
            <v>LBC000000300</v>
          </cell>
        </row>
        <row r="98">
          <cell r="B98" t="str">
            <v>LBC000002500</v>
          </cell>
        </row>
        <row r="99">
          <cell r="B99" t="str">
            <v>LBC000002500</v>
          </cell>
        </row>
        <row r="100">
          <cell r="B100" t="str">
            <v>LBC000002500</v>
          </cell>
        </row>
        <row r="101">
          <cell r="B101" t="str">
            <v>LBC000002500</v>
          </cell>
        </row>
        <row r="102">
          <cell r="B102" t="str">
            <v>LBC000003000</v>
          </cell>
        </row>
        <row r="103">
          <cell r="B103" t="str">
            <v>LBC000003000</v>
          </cell>
        </row>
        <row r="104">
          <cell r="B104" t="str">
            <v>LBC000003000</v>
          </cell>
        </row>
        <row r="105">
          <cell r="B105" t="str">
            <v>LBC000003000</v>
          </cell>
        </row>
        <row r="106">
          <cell r="B106" t="str">
            <v>LBC000003100</v>
          </cell>
        </row>
        <row r="107">
          <cell r="B107" t="str">
            <v>LBC000003100</v>
          </cell>
        </row>
        <row r="108">
          <cell r="B108" t="str">
            <v>LBC000003100</v>
          </cell>
        </row>
        <row r="109">
          <cell r="B109" t="str">
            <v>LBC000003100</v>
          </cell>
        </row>
        <row r="110">
          <cell r="B110" t="str">
            <v>LBC000003200</v>
          </cell>
        </row>
        <row r="111">
          <cell r="B111" t="str">
            <v>LBC000003200</v>
          </cell>
        </row>
        <row r="112">
          <cell r="B112" t="str">
            <v>LBC000003200</v>
          </cell>
        </row>
        <row r="113">
          <cell r="B113" t="str">
            <v>LBC000003200</v>
          </cell>
        </row>
        <row r="114">
          <cell r="B114" t="str">
            <v>LBC000004900</v>
          </cell>
        </row>
        <row r="115">
          <cell r="B115" t="str">
            <v>LBC000004900</v>
          </cell>
        </row>
        <row r="116">
          <cell r="B116" t="str">
            <v>LBC000004900</v>
          </cell>
        </row>
        <row r="117">
          <cell r="B117" t="str">
            <v>LBC000004900</v>
          </cell>
        </row>
        <row r="118">
          <cell r="B118" t="str">
            <v>LBC000005200</v>
          </cell>
        </row>
        <row r="119">
          <cell r="B119" t="str">
            <v>LBC000005200</v>
          </cell>
        </row>
        <row r="120">
          <cell r="B120" t="str">
            <v>LBC000005200</v>
          </cell>
        </row>
        <row r="121">
          <cell r="B121" t="str">
            <v>LBC000005200</v>
          </cell>
        </row>
        <row r="122">
          <cell r="B122" t="str">
            <v>LBC000007401</v>
          </cell>
        </row>
        <row r="123">
          <cell r="B123" t="str">
            <v>LBC000007401</v>
          </cell>
        </row>
        <row r="124">
          <cell r="B124" t="str">
            <v>LBC000007401</v>
          </cell>
        </row>
        <row r="125">
          <cell r="B125" t="str">
            <v>LBC000007401</v>
          </cell>
        </row>
        <row r="126">
          <cell r="B126" t="str">
            <v>LBC000008500</v>
          </cell>
        </row>
        <row r="127">
          <cell r="B127" t="str">
            <v>LBC000008500</v>
          </cell>
        </row>
        <row r="128">
          <cell r="B128" t="str">
            <v>LBC000008500</v>
          </cell>
        </row>
        <row r="129">
          <cell r="B129" t="str">
            <v>LBC000008500</v>
          </cell>
        </row>
        <row r="130">
          <cell r="B130" t="str">
            <v>LBC000011300</v>
          </cell>
        </row>
        <row r="131">
          <cell r="B131" t="str">
            <v>LBC000011300</v>
          </cell>
        </row>
        <row r="132">
          <cell r="B132" t="str">
            <v>LBC000011300</v>
          </cell>
        </row>
        <row r="133">
          <cell r="B133" t="str">
            <v>LBC000011300</v>
          </cell>
        </row>
        <row r="134">
          <cell r="B134" t="str">
            <v>LBC000011500</v>
          </cell>
        </row>
        <row r="135">
          <cell r="B135" t="str">
            <v>LBC000011500</v>
          </cell>
        </row>
        <row r="136">
          <cell r="B136" t="str">
            <v>LBC000011500</v>
          </cell>
        </row>
        <row r="137">
          <cell r="B137" t="str">
            <v>LBC000011500</v>
          </cell>
        </row>
        <row r="138">
          <cell r="B138" t="str">
            <v>LBC000012100</v>
          </cell>
        </row>
        <row r="139">
          <cell r="B139" t="str">
            <v>LBC000012100</v>
          </cell>
        </row>
        <row r="140">
          <cell r="B140" t="str">
            <v>LBC000012100</v>
          </cell>
        </row>
        <row r="141">
          <cell r="B141" t="str">
            <v>LBC000012100</v>
          </cell>
        </row>
        <row r="142">
          <cell r="B142" t="str">
            <v>LBC000018800</v>
          </cell>
        </row>
        <row r="143">
          <cell r="B143" t="str">
            <v>LBC000018800</v>
          </cell>
        </row>
        <row r="144">
          <cell r="B144" t="str">
            <v>LBC000018800</v>
          </cell>
        </row>
        <row r="145">
          <cell r="B145" t="str">
            <v>LBC000018800</v>
          </cell>
        </row>
        <row r="146">
          <cell r="B146" t="str">
            <v>LBC000019200</v>
          </cell>
        </row>
        <row r="147">
          <cell r="B147" t="str">
            <v>LBC000019200</v>
          </cell>
        </row>
        <row r="148">
          <cell r="B148" t="str">
            <v>LBC000019200</v>
          </cell>
        </row>
        <row r="149">
          <cell r="B149" t="str">
            <v>LBC000019200</v>
          </cell>
        </row>
        <row r="150">
          <cell r="B150" t="str">
            <v>LBC000019800</v>
          </cell>
        </row>
        <row r="151">
          <cell r="B151" t="str">
            <v>LBC000019800</v>
          </cell>
        </row>
        <row r="152">
          <cell r="B152" t="str">
            <v>LBC000019800</v>
          </cell>
        </row>
        <row r="153">
          <cell r="B153" t="str">
            <v>LBC000019800</v>
          </cell>
        </row>
        <row r="154">
          <cell r="B154" t="str">
            <v>LBC000020500</v>
          </cell>
        </row>
        <row r="155">
          <cell r="B155" t="str">
            <v>LBC000020500</v>
          </cell>
        </row>
        <row r="156">
          <cell r="B156" t="str">
            <v>LBC000020500</v>
          </cell>
        </row>
        <row r="157">
          <cell r="B157" t="str">
            <v>LBC000020500</v>
          </cell>
        </row>
        <row r="158">
          <cell r="B158" t="str">
            <v>LBC000021200</v>
          </cell>
        </row>
        <row r="159">
          <cell r="B159" t="str">
            <v>LBC000021200</v>
          </cell>
        </row>
        <row r="160">
          <cell r="B160" t="str">
            <v>LBC000021200</v>
          </cell>
        </row>
        <row r="161">
          <cell r="B161" t="str">
            <v>LBC000021200</v>
          </cell>
        </row>
        <row r="162">
          <cell r="B162" t="str">
            <v>LBC000021600</v>
          </cell>
        </row>
        <row r="163">
          <cell r="B163" t="str">
            <v>LBC000021600</v>
          </cell>
        </row>
        <row r="164">
          <cell r="B164" t="str">
            <v>LBC000021600</v>
          </cell>
        </row>
        <row r="165">
          <cell r="B165" t="str">
            <v>LBC000021600</v>
          </cell>
        </row>
        <row r="166">
          <cell r="B166" t="str">
            <v>LBC000022000</v>
          </cell>
        </row>
        <row r="167">
          <cell r="B167" t="str">
            <v>LBC000022000</v>
          </cell>
        </row>
        <row r="168">
          <cell r="B168" t="str">
            <v>LBC000022000</v>
          </cell>
        </row>
        <row r="169">
          <cell r="B169" t="str">
            <v>LBC000022000</v>
          </cell>
        </row>
        <row r="170">
          <cell r="B170" t="str">
            <v>LBC000023300</v>
          </cell>
        </row>
        <row r="171">
          <cell r="B171" t="str">
            <v>LBC000023300</v>
          </cell>
        </row>
        <row r="172">
          <cell r="B172" t="str">
            <v>LBC000023300</v>
          </cell>
        </row>
        <row r="173">
          <cell r="B173" t="str">
            <v>LBC000023300</v>
          </cell>
        </row>
        <row r="174">
          <cell r="B174" t="str">
            <v>LBC000025500</v>
          </cell>
        </row>
        <row r="175">
          <cell r="B175" t="str">
            <v>LBC000025500</v>
          </cell>
        </row>
        <row r="176">
          <cell r="B176" t="str">
            <v>LBC000025500</v>
          </cell>
        </row>
        <row r="177">
          <cell r="B177" t="str">
            <v>LBC000025500</v>
          </cell>
        </row>
        <row r="178">
          <cell r="B178" t="str">
            <v>LBC000026600</v>
          </cell>
        </row>
        <row r="179">
          <cell r="B179" t="str">
            <v>LBC000026600</v>
          </cell>
        </row>
        <row r="180">
          <cell r="B180" t="str">
            <v>LBC000026600</v>
          </cell>
        </row>
        <row r="181">
          <cell r="B181" t="str">
            <v>LBC000026600</v>
          </cell>
        </row>
        <row r="182">
          <cell r="B182" t="str">
            <v>LBC000026700</v>
          </cell>
        </row>
        <row r="183">
          <cell r="B183" t="str">
            <v>LBC000026700</v>
          </cell>
        </row>
        <row r="184">
          <cell r="B184" t="str">
            <v>LBC000026700</v>
          </cell>
        </row>
        <row r="185">
          <cell r="B185" t="str">
            <v>LBC000026700</v>
          </cell>
        </row>
        <row r="186">
          <cell r="B186" t="str">
            <v>LBC000026800</v>
          </cell>
        </row>
        <row r="187">
          <cell r="B187" t="str">
            <v>LBC000026800</v>
          </cell>
        </row>
        <row r="188">
          <cell r="B188" t="str">
            <v>LBC000026800</v>
          </cell>
        </row>
        <row r="189">
          <cell r="B189" t="str">
            <v>LBC000026800</v>
          </cell>
        </row>
        <row r="190">
          <cell r="B190" t="str">
            <v>LBC000038900</v>
          </cell>
        </row>
        <row r="191">
          <cell r="B191" t="str">
            <v>LBC000038900</v>
          </cell>
        </row>
        <row r="192">
          <cell r="B192" t="str">
            <v>LBC000038900</v>
          </cell>
        </row>
        <row r="193">
          <cell r="B193" t="str">
            <v>LBC000038900</v>
          </cell>
        </row>
        <row r="194">
          <cell r="B194" t="str">
            <v>LBF000002300</v>
          </cell>
        </row>
        <row r="195">
          <cell r="B195" t="str">
            <v>LBF000002300</v>
          </cell>
        </row>
        <row r="196">
          <cell r="B196" t="str">
            <v>LBF000002300</v>
          </cell>
        </row>
        <row r="197">
          <cell r="B197" t="str">
            <v>LBF000002300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="85" zoomScaleNormal="85" workbookViewId="0">
      <pane ySplit="2" topLeftCell="A3" activePane="bottomLeft" state="frozen"/>
      <selection pane="bottomLeft" activeCell="E10" sqref="E10"/>
    </sheetView>
  </sheetViews>
  <sheetFormatPr defaultColWidth="8.77734375" defaultRowHeight="14.4" x14ac:dyDescent="0.25"/>
  <cols>
    <col min="1" max="1" width="8.77734375" style="7"/>
    <col min="2" max="2" width="21.6640625" style="8" customWidth="1"/>
    <col min="3" max="3" width="15.33203125" style="7" customWidth="1"/>
    <col min="4" max="4" width="22.77734375" style="7" customWidth="1"/>
    <col min="5" max="5" width="31.21875" style="7" customWidth="1"/>
    <col min="6" max="6" width="46.33203125" style="9" customWidth="1"/>
    <col min="7" max="7" width="4" style="7" customWidth="1"/>
    <col min="8" max="8" width="13.109375" style="7" customWidth="1"/>
    <col min="9" max="9" width="3.5546875" style="7" customWidth="1"/>
    <col min="10" max="10" width="12.77734375" style="10" customWidth="1"/>
    <col min="11" max="11" width="14.109375" style="7" customWidth="1"/>
    <col min="12" max="12" width="25.109375" customWidth="1"/>
  </cols>
  <sheetData>
    <row r="1" spans="1:16" ht="22.2" x14ac:dyDescent="0.25">
      <c r="A1" s="27" t="s">
        <v>94</v>
      </c>
      <c r="B1" s="27"/>
      <c r="C1" s="11" t="s">
        <v>0</v>
      </c>
      <c r="D1" s="12" t="s">
        <v>98</v>
      </c>
      <c r="E1" s="13" t="s">
        <v>96</v>
      </c>
      <c r="F1" s="14" t="s">
        <v>97</v>
      </c>
    </row>
    <row r="2" spans="1:16" s="6" customFormat="1" ht="39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/>
      <c r="J2" s="17" t="s">
        <v>9</v>
      </c>
      <c r="K2" s="18" t="s">
        <v>10</v>
      </c>
      <c r="L2" s="19" t="s">
        <v>95</v>
      </c>
      <c r="M2" s="19"/>
      <c r="N2" s="19"/>
      <c r="O2" s="19"/>
      <c r="P2" s="19"/>
    </row>
    <row r="3" spans="1:16" s="6" customFormat="1" ht="17.399999999999999" x14ac:dyDescent="0.25">
      <c r="A3" s="4">
        <v>1</v>
      </c>
      <c r="B3" s="3" t="s">
        <v>130</v>
      </c>
      <c r="C3" s="4" t="s">
        <v>129</v>
      </c>
      <c r="D3" s="4" t="s">
        <v>99</v>
      </c>
      <c r="E3" s="15" t="s">
        <v>131</v>
      </c>
      <c r="F3" s="15" t="s">
        <v>132</v>
      </c>
      <c r="G3" s="15"/>
      <c r="H3" s="4">
        <v>14</v>
      </c>
      <c r="I3" s="4"/>
      <c r="J3" s="20">
        <v>1116.8499999999999</v>
      </c>
      <c r="K3" s="21">
        <f t="shared" ref="K3:K32" si="0">J3*H3</f>
        <v>15635.899999999998</v>
      </c>
      <c r="L3" s="19"/>
      <c r="M3" s="19"/>
      <c r="N3" s="19"/>
      <c r="O3" s="19"/>
      <c r="P3" s="19"/>
    </row>
    <row r="4" spans="1:16" s="6" customFormat="1" ht="17.399999999999999" x14ac:dyDescent="0.25">
      <c r="A4" s="4">
        <v>2</v>
      </c>
      <c r="B4" s="3" t="s">
        <v>133</v>
      </c>
      <c r="C4" s="4"/>
      <c r="D4" s="4" t="s">
        <v>100</v>
      </c>
      <c r="E4" s="15" t="s">
        <v>134</v>
      </c>
      <c r="F4" s="15" t="s">
        <v>135</v>
      </c>
      <c r="G4" s="16"/>
      <c r="H4" s="4">
        <v>10</v>
      </c>
      <c r="I4" s="4"/>
      <c r="J4" s="20">
        <v>1292.42</v>
      </c>
      <c r="K4" s="21">
        <f t="shared" si="0"/>
        <v>12924.2</v>
      </c>
      <c r="L4" s="19"/>
      <c r="M4" s="19"/>
      <c r="N4" s="19"/>
      <c r="O4" s="19"/>
      <c r="P4" s="19"/>
    </row>
    <row r="5" spans="1:16" s="6" customFormat="1" ht="17.399999999999999" x14ac:dyDescent="0.25">
      <c r="A5" s="4">
        <v>3</v>
      </c>
      <c r="B5" s="28" t="s">
        <v>136</v>
      </c>
      <c r="C5" s="4"/>
      <c r="D5" s="4" t="s">
        <v>101</v>
      </c>
      <c r="E5" s="15"/>
      <c r="F5" s="15"/>
      <c r="G5" s="16"/>
      <c r="H5" s="4">
        <v>50</v>
      </c>
      <c r="I5" s="4"/>
      <c r="J5" s="20">
        <v>1029.32</v>
      </c>
      <c r="K5" s="21">
        <f t="shared" si="0"/>
        <v>51466</v>
      </c>
      <c r="L5" s="19"/>
      <c r="M5" s="19"/>
      <c r="N5" s="19"/>
      <c r="O5" s="19"/>
      <c r="P5" s="19"/>
    </row>
    <row r="6" spans="1:16" s="6" customFormat="1" ht="17.399999999999999" x14ac:dyDescent="0.25">
      <c r="A6" s="4">
        <v>4</v>
      </c>
      <c r="B6" s="3" t="s">
        <v>137</v>
      </c>
      <c r="C6" s="4"/>
      <c r="D6" s="4" t="s">
        <v>102</v>
      </c>
      <c r="E6" s="15" t="s">
        <v>138</v>
      </c>
      <c r="F6" s="15" t="s">
        <v>139</v>
      </c>
      <c r="G6" s="16"/>
      <c r="H6" s="4">
        <v>75</v>
      </c>
      <c r="I6" s="4"/>
      <c r="J6" s="20">
        <v>1029.32</v>
      </c>
      <c r="K6" s="21">
        <f t="shared" si="0"/>
        <v>77199</v>
      </c>
      <c r="L6" s="19"/>
      <c r="M6" s="19"/>
      <c r="N6" s="19"/>
      <c r="O6" s="19"/>
      <c r="P6" s="19"/>
    </row>
    <row r="7" spans="1:16" s="6" customFormat="1" ht="17.399999999999999" x14ac:dyDescent="0.25">
      <c r="A7" s="4">
        <v>5</v>
      </c>
      <c r="B7" s="3" t="s">
        <v>76</v>
      </c>
      <c r="C7" s="4"/>
      <c r="D7" s="4" t="s">
        <v>103</v>
      </c>
      <c r="E7" s="15" t="s">
        <v>140</v>
      </c>
      <c r="F7" s="15" t="s">
        <v>141</v>
      </c>
      <c r="G7" s="16"/>
      <c r="H7" s="4">
        <v>6</v>
      </c>
      <c r="I7" s="4"/>
      <c r="J7" s="20">
        <v>1102.67</v>
      </c>
      <c r="K7" s="21">
        <f t="shared" si="0"/>
        <v>6616.02</v>
      </c>
      <c r="L7" s="19"/>
      <c r="M7" s="19"/>
      <c r="N7" s="19"/>
      <c r="O7" s="19"/>
      <c r="P7" s="19"/>
    </row>
    <row r="8" spans="1:16" s="6" customFormat="1" ht="17.399999999999999" x14ac:dyDescent="0.25">
      <c r="A8" s="4">
        <v>6</v>
      </c>
      <c r="B8" s="3" t="s">
        <v>142</v>
      </c>
      <c r="C8" s="4"/>
      <c r="D8" s="4" t="s">
        <v>104</v>
      </c>
      <c r="E8" s="15" t="s">
        <v>143</v>
      </c>
      <c r="F8" s="15" t="s">
        <v>144</v>
      </c>
      <c r="G8" s="16"/>
      <c r="H8" s="4">
        <v>24</v>
      </c>
      <c r="I8" s="4"/>
      <c r="J8" s="20">
        <v>1666.68</v>
      </c>
      <c r="K8" s="21">
        <f t="shared" si="0"/>
        <v>40000.32</v>
      </c>
      <c r="L8" s="19"/>
      <c r="M8" s="19"/>
      <c r="N8" s="19"/>
      <c r="O8" s="19"/>
      <c r="P8" s="19"/>
    </row>
    <row r="9" spans="1:16" s="6" customFormat="1" ht="17.399999999999999" x14ac:dyDescent="0.25">
      <c r="A9" s="4">
        <v>7</v>
      </c>
      <c r="B9" s="3" t="s">
        <v>145</v>
      </c>
      <c r="C9" s="4"/>
      <c r="D9" s="4" t="s">
        <v>105</v>
      </c>
      <c r="E9" s="15" t="s">
        <v>143</v>
      </c>
      <c r="F9" s="15" t="s">
        <v>146</v>
      </c>
      <c r="G9" s="16"/>
      <c r="H9" s="4">
        <v>4</v>
      </c>
      <c r="I9" s="4"/>
      <c r="J9" s="20">
        <v>1666.68</v>
      </c>
      <c r="K9" s="21">
        <f t="shared" si="0"/>
        <v>6666.72</v>
      </c>
      <c r="L9" s="19"/>
      <c r="M9" s="19"/>
      <c r="N9" s="19"/>
      <c r="O9" s="19"/>
      <c r="P9" s="19"/>
    </row>
    <row r="10" spans="1:16" s="6" customFormat="1" ht="17.399999999999999" x14ac:dyDescent="0.25">
      <c r="A10" s="4">
        <v>8</v>
      </c>
      <c r="B10" s="3" t="s">
        <v>147</v>
      </c>
      <c r="C10" s="4"/>
      <c r="D10" s="4" t="s">
        <v>106</v>
      </c>
      <c r="E10" s="15" t="s">
        <v>148</v>
      </c>
      <c r="F10" s="15" t="s">
        <v>149</v>
      </c>
      <c r="G10" s="16"/>
      <c r="H10" s="4">
        <v>50</v>
      </c>
      <c r="I10" s="4"/>
      <c r="J10" s="20">
        <v>1180.9100000000001</v>
      </c>
      <c r="K10" s="21">
        <f t="shared" si="0"/>
        <v>59045.500000000007</v>
      </c>
      <c r="L10" s="19"/>
      <c r="M10" s="19"/>
      <c r="N10" s="19"/>
      <c r="O10" s="19"/>
      <c r="P10" s="19"/>
    </row>
    <row r="11" spans="1:16" s="6" customFormat="1" ht="17.399999999999999" x14ac:dyDescent="0.25">
      <c r="A11" s="4">
        <v>9</v>
      </c>
      <c r="B11" s="28" t="s">
        <v>136</v>
      </c>
      <c r="C11" s="4"/>
      <c r="D11" s="4" t="s">
        <v>107</v>
      </c>
      <c r="E11" s="15"/>
      <c r="F11" s="15"/>
      <c r="G11" s="16"/>
      <c r="H11" s="4">
        <v>2</v>
      </c>
      <c r="I11" s="4"/>
      <c r="J11" s="20">
        <v>1180.9100000000001</v>
      </c>
      <c r="K11" s="21">
        <f t="shared" si="0"/>
        <v>2361.8200000000002</v>
      </c>
      <c r="L11" s="19"/>
      <c r="M11" s="19"/>
      <c r="N11" s="19"/>
      <c r="O11" s="19"/>
      <c r="P11" s="19"/>
    </row>
    <row r="12" spans="1:16" s="6" customFormat="1" ht="17.399999999999999" x14ac:dyDescent="0.25">
      <c r="A12" s="4">
        <v>10</v>
      </c>
      <c r="B12" s="3" t="s">
        <v>150</v>
      </c>
      <c r="C12" s="4"/>
      <c r="D12" s="4" t="s">
        <v>108</v>
      </c>
      <c r="E12" s="15" t="s">
        <v>151</v>
      </c>
      <c r="F12" s="15" t="s">
        <v>152</v>
      </c>
      <c r="G12" s="16"/>
      <c r="H12" s="4">
        <v>6</v>
      </c>
      <c r="I12" s="4"/>
      <c r="J12" s="20">
        <v>1298.8499999999999</v>
      </c>
      <c r="K12" s="21">
        <f t="shared" si="0"/>
        <v>7793.0999999999995</v>
      </c>
      <c r="L12" s="19"/>
      <c r="M12" s="19"/>
      <c r="N12" s="19"/>
      <c r="O12" s="19"/>
      <c r="P12" s="19"/>
    </row>
    <row r="13" spans="1:16" s="6" customFormat="1" ht="17.399999999999999" x14ac:dyDescent="0.25">
      <c r="A13" s="4">
        <v>11</v>
      </c>
      <c r="B13" s="3" t="s">
        <v>153</v>
      </c>
      <c r="C13" s="4"/>
      <c r="D13" s="4" t="s">
        <v>109</v>
      </c>
      <c r="E13" s="15" t="s">
        <v>151</v>
      </c>
      <c r="F13" s="15" t="s">
        <v>154</v>
      </c>
      <c r="G13" s="16"/>
      <c r="H13" s="4">
        <v>50</v>
      </c>
      <c r="I13" s="4"/>
      <c r="J13" s="20">
        <v>1298.8499999999999</v>
      </c>
      <c r="K13" s="21">
        <f t="shared" si="0"/>
        <v>64942.499999999993</v>
      </c>
      <c r="L13" s="19"/>
      <c r="M13" s="19"/>
      <c r="N13" s="19"/>
      <c r="O13" s="19"/>
      <c r="P13" s="19"/>
    </row>
    <row r="14" spans="1:16" s="6" customFormat="1" ht="17.399999999999999" x14ac:dyDescent="0.25">
      <c r="A14" s="4">
        <v>12</v>
      </c>
      <c r="B14" s="3" t="s">
        <v>155</v>
      </c>
      <c r="C14" s="4"/>
      <c r="D14" s="4" t="s">
        <v>110</v>
      </c>
      <c r="E14" s="15" t="s">
        <v>156</v>
      </c>
      <c r="F14" s="15" t="s">
        <v>157</v>
      </c>
      <c r="G14" s="16"/>
      <c r="H14" s="4">
        <v>30</v>
      </c>
      <c r="I14" s="4"/>
      <c r="J14" s="20">
        <v>1612.36</v>
      </c>
      <c r="K14" s="21">
        <f t="shared" si="0"/>
        <v>48370.799999999996</v>
      </c>
      <c r="L14" s="19"/>
      <c r="M14" s="19"/>
      <c r="N14" s="19"/>
      <c r="O14" s="19"/>
      <c r="P14" s="19"/>
    </row>
    <row r="15" spans="1:16" s="6" customFormat="1" ht="17.399999999999999" x14ac:dyDescent="0.25">
      <c r="A15" s="4">
        <v>13</v>
      </c>
      <c r="B15" s="3" t="s">
        <v>158</v>
      </c>
      <c r="C15" s="4"/>
      <c r="D15" s="4" t="s">
        <v>111</v>
      </c>
      <c r="E15" s="15" t="s">
        <v>159</v>
      </c>
      <c r="F15" s="15" t="s">
        <v>160</v>
      </c>
      <c r="G15" s="16"/>
      <c r="H15" s="4">
        <v>12</v>
      </c>
      <c r="I15" s="4"/>
      <c r="J15" s="20">
        <v>1894.32</v>
      </c>
      <c r="K15" s="21">
        <f t="shared" si="0"/>
        <v>22731.84</v>
      </c>
      <c r="L15" s="19"/>
      <c r="M15" s="19"/>
      <c r="N15" s="19"/>
      <c r="O15" s="19"/>
      <c r="P15" s="19"/>
    </row>
    <row r="16" spans="1:16" s="6" customFormat="1" ht="17.399999999999999" x14ac:dyDescent="0.25">
      <c r="A16" s="4">
        <v>14</v>
      </c>
      <c r="B16" s="3" t="s">
        <v>161</v>
      </c>
      <c r="C16" s="4"/>
      <c r="D16" s="4" t="s">
        <v>112</v>
      </c>
      <c r="E16" s="15" t="s">
        <v>162</v>
      </c>
      <c r="F16" s="15" t="s">
        <v>163</v>
      </c>
      <c r="G16" s="16"/>
      <c r="H16" s="4">
        <v>12</v>
      </c>
      <c r="I16" s="4"/>
      <c r="J16" s="20">
        <v>2085.0300000000002</v>
      </c>
      <c r="K16" s="21">
        <f t="shared" si="0"/>
        <v>25020.36</v>
      </c>
      <c r="L16" s="19"/>
      <c r="M16" s="19"/>
      <c r="N16" s="19"/>
      <c r="O16" s="19"/>
      <c r="P16" s="19"/>
    </row>
    <row r="17" spans="1:16" s="6" customFormat="1" ht="17.399999999999999" x14ac:dyDescent="0.25">
      <c r="A17" s="4">
        <v>15</v>
      </c>
      <c r="B17" s="28" t="s">
        <v>136</v>
      </c>
      <c r="C17" s="4"/>
      <c r="D17" s="4" t="s">
        <v>113</v>
      </c>
      <c r="E17" s="15"/>
      <c r="F17" s="15"/>
      <c r="G17" s="16"/>
      <c r="H17" s="4">
        <v>8</v>
      </c>
      <c r="I17" s="4"/>
      <c r="J17" s="20">
        <v>2085.0300000000002</v>
      </c>
      <c r="K17" s="21">
        <f t="shared" si="0"/>
        <v>16680.240000000002</v>
      </c>
      <c r="L17" s="19"/>
      <c r="M17" s="19"/>
      <c r="N17" s="19"/>
      <c r="O17" s="19"/>
      <c r="P17" s="19"/>
    </row>
    <row r="18" spans="1:16" s="6" customFormat="1" ht="17.399999999999999" x14ac:dyDescent="0.25">
      <c r="A18" s="4">
        <v>16</v>
      </c>
      <c r="B18" s="3" t="s">
        <v>164</v>
      </c>
      <c r="C18" s="4"/>
      <c r="D18" s="4" t="s">
        <v>114</v>
      </c>
      <c r="E18" s="15" t="s">
        <v>165</v>
      </c>
      <c r="F18" s="15" t="s">
        <v>166</v>
      </c>
      <c r="G18" s="16"/>
      <c r="H18" s="4">
        <v>1</v>
      </c>
      <c r="I18" s="4"/>
      <c r="J18" s="20">
        <v>2564.09</v>
      </c>
      <c r="K18" s="21">
        <f t="shared" si="0"/>
        <v>2564.09</v>
      </c>
      <c r="L18" s="19"/>
      <c r="M18" s="19"/>
      <c r="N18" s="19"/>
      <c r="O18" s="19"/>
      <c r="P18" s="19"/>
    </row>
    <row r="19" spans="1:16" s="6" customFormat="1" ht="17.399999999999999" x14ac:dyDescent="0.25">
      <c r="A19" s="4">
        <v>17</v>
      </c>
      <c r="B19" s="28" t="s">
        <v>136</v>
      </c>
      <c r="C19" s="4"/>
      <c r="D19" s="4" t="s">
        <v>115</v>
      </c>
      <c r="E19" s="15"/>
      <c r="F19" s="15"/>
      <c r="G19" s="16"/>
      <c r="H19" s="4">
        <v>2</v>
      </c>
      <c r="I19" s="4"/>
      <c r="J19" s="20">
        <v>5006.3999999999996</v>
      </c>
      <c r="K19" s="21">
        <f t="shared" si="0"/>
        <v>10012.799999999999</v>
      </c>
      <c r="L19" s="19"/>
      <c r="M19" s="19"/>
      <c r="N19" s="19"/>
      <c r="O19" s="19"/>
      <c r="P19" s="19"/>
    </row>
    <row r="20" spans="1:16" s="6" customFormat="1" ht="17.399999999999999" x14ac:dyDescent="0.25">
      <c r="A20" s="4">
        <v>18</v>
      </c>
      <c r="B20" s="3" t="s">
        <v>167</v>
      </c>
      <c r="C20" s="4"/>
      <c r="D20" s="4" t="s">
        <v>116</v>
      </c>
      <c r="E20" s="15" t="s">
        <v>168</v>
      </c>
      <c r="F20" s="15" t="s">
        <v>169</v>
      </c>
      <c r="G20" s="16"/>
      <c r="H20" s="4">
        <v>1</v>
      </c>
      <c r="I20" s="4"/>
      <c r="J20" s="20">
        <v>5256.72</v>
      </c>
      <c r="K20" s="21">
        <f t="shared" si="0"/>
        <v>5256.72</v>
      </c>
      <c r="L20" s="19"/>
      <c r="M20" s="19"/>
      <c r="N20" s="19"/>
      <c r="O20" s="19"/>
      <c r="P20" s="19"/>
    </row>
    <row r="21" spans="1:16" s="6" customFormat="1" ht="17.399999999999999" x14ac:dyDescent="0.25">
      <c r="A21" s="4">
        <v>19</v>
      </c>
      <c r="B21" s="3" t="s">
        <v>170</v>
      </c>
      <c r="C21" s="4"/>
      <c r="D21" s="4" t="s">
        <v>117</v>
      </c>
      <c r="E21" s="15" t="s">
        <v>171</v>
      </c>
      <c r="F21" s="15" t="s">
        <v>172</v>
      </c>
      <c r="G21" s="16"/>
      <c r="H21" s="4">
        <v>1</v>
      </c>
      <c r="I21" s="4"/>
      <c r="J21" s="20">
        <v>1244.33</v>
      </c>
      <c r="K21" s="21">
        <f t="shared" si="0"/>
        <v>1244.33</v>
      </c>
      <c r="L21" s="19"/>
      <c r="M21" s="19"/>
      <c r="N21" s="19"/>
      <c r="O21" s="19"/>
      <c r="P21" s="19"/>
    </row>
    <row r="22" spans="1:16" s="6" customFormat="1" ht="17.399999999999999" x14ac:dyDescent="0.25">
      <c r="A22" s="4">
        <v>20</v>
      </c>
      <c r="B22" s="3" t="s">
        <v>173</v>
      </c>
      <c r="C22" s="4"/>
      <c r="D22" s="4" t="s">
        <v>118</v>
      </c>
      <c r="E22" s="15" t="s">
        <v>174</v>
      </c>
      <c r="F22" s="15" t="s">
        <v>175</v>
      </c>
      <c r="G22" s="16"/>
      <c r="H22" s="4">
        <v>2</v>
      </c>
      <c r="I22" s="4"/>
      <c r="J22" s="20">
        <v>1510.78</v>
      </c>
      <c r="K22" s="21">
        <f t="shared" si="0"/>
        <v>3021.56</v>
      </c>
      <c r="L22" s="19"/>
      <c r="M22" s="19"/>
      <c r="N22" s="19"/>
      <c r="O22" s="19"/>
      <c r="P22" s="19"/>
    </row>
    <row r="23" spans="1:16" s="6" customFormat="1" ht="17.399999999999999" x14ac:dyDescent="0.25">
      <c r="A23" s="4">
        <v>21</v>
      </c>
      <c r="B23" s="3" t="s">
        <v>54</v>
      </c>
      <c r="C23" s="4"/>
      <c r="D23" s="4" t="s">
        <v>119</v>
      </c>
      <c r="E23" s="15" t="s">
        <v>176</v>
      </c>
      <c r="F23" s="15" t="s">
        <v>177</v>
      </c>
      <c r="G23" s="16"/>
      <c r="H23" s="4">
        <v>1</v>
      </c>
      <c r="I23" s="4"/>
      <c r="J23" s="20">
        <v>2036.21</v>
      </c>
      <c r="K23" s="21">
        <f t="shared" si="0"/>
        <v>2036.21</v>
      </c>
      <c r="L23" s="19"/>
      <c r="M23" s="19"/>
      <c r="N23" s="19"/>
      <c r="O23" s="19"/>
      <c r="P23" s="19"/>
    </row>
    <row r="24" spans="1:16" s="6" customFormat="1" ht="17.399999999999999" x14ac:dyDescent="0.25">
      <c r="A24" s="4">
        <v>22</v>
      </c>
      <c r="B24" s="3" t="s">
        <v>178</v>
      </c>
      <c r="C24" s="4"/>
      <c r="D24" s="4" t="s">
        <v>120</v>
      </c>
      <c r="E24" s="15" t="s">
        <v>179</v>
      </c>
      <c r="F24" s="15" t="s">
        <v>180</v>
      </c>
      <c r="G24" s="16"/>
      <c r="H24" s="4">
        <v>1</v>
      </c>
      <c r="I24" s="4"/>
      <c r="J24" s="20">
        <v>2093.9499999999998</v>
      </c>
      <c r="K24" s="21">
        <f t="shared" si="0"/>
        <v>2093.9499999999998</v>
      </c>
      <c r="L24" s="19"/>
      <c r="M24" s="19"/>
      <c r="N24" s="19"/>
      <c r="O24" s="19"/>
      <c r="P24" s="19"/>
    </row>
    <row r="25" spans="1:16" s="6" customFormat="1" ht="17.399999999999999" x14ac:dyDescent="0.25">
      <c r="A25" s="4">
        <v>23</v>
      </c>
      <c r="B25" s="3" t="s">
        <v>181</v>
      </c>
      <c r="C25" s="4"/>
      <c r="D25" s="4" t="s">
        <v>121</v>
      </c>
      <c r="E25" s="15" t="s">
        <v>182</v>
      </c>
      <c r="F25" s="15" t="s">
        <v>183</v>
      </c>
      <c r="G25" s="16"/>
      <c r="H25" s="4">
        <v>1</v>
      </c>
      <c r="I25" s="4"/>
      <c r="J25" s="20">
        <v>2632.12</v>
      </c>
      <c r="K25" s="21">
        <f t="shared" si="0"/>
        <v>2632.12</v>
      </c>
      <c r="L25" s="19"/>
      <c r="M25" s="19"/>
      <c r="N25" s="19"/>
      <c r="O25" s="19"/>
      <c r="P25" s="19"/>
    </row>
    <row r="26" spans="1:16" s="6" customFormat="1" ht="17.399999999999999" x14ac:dyDescent="0.25">
      <c r="A26" s="4">
        <v>24</v>
      </c>
      <c r="B26" s="3" t="s">
        <v>184</v>
      </c>
      <c r="C26" s="4"/>
      <c r="D26" s="4" t="s">
        <v>122</v>
      </c>
      <c r="E26" s="15" t="s">
        <v>185</v>
      </c>
      <c r="F26" s="15" t="s">
        <v>186</v>
      </c>
      <c r="G26" s="15"/>
      <c r="H26" s="4">
        <v>1</v>
      </c>
      <c r="I26" s="4"/>
      <c r="J26" s="20">
        <v>2109.85</v>
      </c>
      <c r="K26" s="21">
        <f t="shared" si="0"/>
        <v>2109.85</v>
      </c>
      <c r="L26" s="19"/>
      <c r="M26" s="19"/>
      <c r="N26" s="19"/>
      <c r="O26" s="19"/>
      <c r="P26" s="19"/>
    </row>
    <row r="27" spans="1:16" s="6" customFormat="1" ht="17.399999999999999" x14ac:dyDescent="0.25">
      <c r="A27" s="4">
        <v>25</v>
      </c>
      <c r="B27" s="3" t="s">
        <v>187</v>
      </c>
      <c r="C27" s="4"/>
      <c r="D27" s="4" t="s">
        <v>123</v>
      </c>
      <c r="E27" s="15" t="s">
        <v>188</v>
      </c>
      <c r="F27" s="15" t="s">
        <v>189</v>
      </c>
      <c r="G27" s="16"/>
      <c r="H27" s="4">
        <v>1</v>
      </c>
      <c r="I27" s="4"/>
      <c r="J27" s="20">
        <v>3426.25</v>
      </c>
      <c r="K27" s="21">
        <f t="shared" si="0"/>
        <v>3426.25</v>
      </c>
      <c r="L27" s="19"/>
      <c r="M27" s="19"/>
      <c r="N27" s="19"/>
      <c r="O27" s="19"/>
      <c r="P27" s="19"/>
    </row>
    <row r="28" spans="1:16" s="6" customFormat="1" ht="17.399999999999999" x14ac:dyDescent="0.25">
      <c r="A28" s="4">
        <v>26</v>
      </c>
      <c r="B28" s="3" t="s">
        <v>48</v>
      </c>
      <c r="C28" s="4"/>
      <c r="D28" s="4" t="s">
        <v>124</v>
      </c>
      <c r="E28" s="15" t="s">
        <v>190</v>
      </c>
      <c r="F28" s="15" t="s">
        <v>191</v>
      </c>
      <c r="G28" s="16"/>
      <c r="H28" s="4">
        <v>1</v>
      </c>
      <c r="I28" s="4"/>
      <c r="J28" s="20">
        <v>4672.04</v>
      </c>
      <c r="K28" s="21">
        <f t="shared" si="0"/>
        <v>4672.04</v>
      </c>
      <c r="L28" s="19"/>
      <c r="M28" s="19"/>
      <c r="N28" s="19"/>
      <c r="O28" s="19"/>
      <c r="P28" s="19"/>
    </row>
    <row r="29" spans="1:16" s="6" customFormat="1" ht="17.399999999999999" x14ac:dyDescent="0.25">
      <c r="A29" s="4">
        <v>27</v>
      </c>
      <c r="B29" s="3" t="s">
        <v>50</v>
      </c>
      <c r="C29" s="4"/>
      <c r="D29" s="4" t="s">
        <v>125</v>
      </c>
      <c r="E29" s="15" t="s">
        <v>192</v>
      </c>
      <c r="F29" s="15" t="s">
        <v>193</v>
      </c>
      <c r="G29" s="16"/>
      <c r="H29" s="4">
        <v>1</v>
      </c>
      <c r="I29" s="4"/>
      <c r="J29" s="20">
        <v>1653.92</v>
      </c>
      <c r="K29" s="21">
        <f t="shared" si="0"/>
        <v>1653.92</v>
      </c>
      <c r="L29" s="19"/>
      <c r="M29" s="19"/>
      <c r="N29" s="19"/>
      <c r="O29" s="19"/>
      <c r="P29" s="19"/>
    </row>
    <row r="30" spans="1:16" s="6" customFormat="1" ht="17.399999999999999" x14ac:dyDescent="0.25">
      <c r="A30" s="4">
        <v>28</v>
      </c>
      <c r="B30" s="3" t="s">
        <v>194</v>
      </c>
      <c r="C30" s="4"/>
      <c r="D30" s="4" t="s">
        <v>126</v>
      </c>
      <c r="E30" s="15" t="s">
        <v>195</v>
      </c>
      <c r="F30" s="15" t="s">
        <v>196</v>
      </c>
      <c r="G30" s="16"/>
      <c r="H30" s="4">
        <v>1</v>
      </c>
      <c r="I30" s="4"/>
      <c r="J30" s="20">
        <v>2043.96</v>
      </c>
      <c r="K30" s="21">
        <f t="shared" si="0"/>
        <v>2043.96</v>
      </c>
      <c r="L30" s="19"/>
      <c r="M30" s="19"/>
      <c r="N30" s="19"/>
      <c r="O30" s="19"/>
      <c r="P30" s="19"/>
    </row>
    <row r="31" spans="1:16" s="6" customFormat="1" ht="17.399999999999999" x14ac:dyDescent="0.25">
      <c r="A31" s="4">
        <v>29</v>
      </c>
      <c r="B31" s="3" t="s">
        <v>68</v>
      </c>
      <c r="C31" s="4"/>
      <c r="D31" s="4" t="s">
        <v>127</v>
      </c>
      <c r="E31" s="15" t="s">
        <v>197</v>
      </c>
      <c r="F31" s="15" t="s">
        <v>198</v>
      </c>
      <c r="G31" s="16"/>
      <c r="H31" s="4">
        <v>1</v>
      </c>
      <c r="I31" s="4"/>
      <c r="J31" s="20">
        <v>3102.22</v>
      </c>
      <c r="K31" s="21">
        <f t="shared" si="0"/>
        <v>3102.22</v>
      </c>
      <c r="L31" s="19"/>
      <c r="M31" s="19"/>
      <c r="N31" s="19"/>
      <c r="O31" s="19"/>
      <c r="P31" s="19"/>
    </row>
    <row r="32" spans="1:16" s="6" customFormat="1" ht="17.399999999999999" x14ac:dyDescent="0.25">
      <c r="A32" s="4">
        <v>30</v>
      </c>
      <c r="B32" s="3" t="s">
        <v>199</v>
      </c>
      <c r="C32" s="4"/>
      <c r="D32" s="4" t="s">
        <v>128</v>
      </c>
      <c r="E32" s="15" t="s">
        <v>200</v>
      </c>
      <c r="F32" s="15" t="s">
        <v>201</v>
      </c>
      <c r="G32" s="16"/>
      <c r="H32" s="4">
        <v>2</v>
      </c>
      <c r="I32" s="4"/>
      <c r="J32" s="20">
        <v>3226.02</v>
      </c>
      <c r="K32" s="21">
        <f t="shared" si="0"/>
        <v>6452.04</v>
      </c>
      <c r="L32" s="19"/>
      <c r="M32" s="19"/>
      <c r="N32" s="19"/>
      <c r="O32" s="19"/>
      <c r="P32" s="19"/>
    </row>
    <row r="33" spans="1:16" s="6" customFormat="1" ht="17.399999999999999" x14ac:dyDescent="0.25">
      <c r="A33" s="4"/>
      <c r="B33" s="3"/>
      <c r="C33" s="4"/>
      <c r="D33" s="4"/>
      <c r="E33" s="15"/>
      <c r="F33" s="15"/>
      <c r="G33" s="16"/>
      <c r="H33" s="4"/>
      <c r="I33" s="4"/>
      <c r="J33" s="20"/>
      <c r="K33" s="21"/>
      <c r="L33" s="19"/>
      <c r="M33" s="19"/>
      <c r="N33" s="19"/>
      <c r="O33" s="19"/>
      <c r="P33" s="19"/>
    </row>
    <row r="34" spans="1:16" s="6" customFormat="1" ht="17.399999999999999" x14ac:dyDescent="0.25">
      <c r="A34" s="4"/>
      <c r="B34" s="3"/>
      <c r="C34" s="4"/>
      <c r="D34" s="4"/>
      <c r="E34" s="15"/>
      <c r="F34" s="15"/>
      <c r="G34" s="16"/>
      <c r="H34" s="4">
        <f>SUM(H3:H33)</f>
        <v>371</v>
      </c>
      <c r="I34" s="4"/>
      <c r="J34" s="20"/>
      <c r="K34" s="21">
        <f>SUM(K3:K33)</f>
        <v>509776.37999999995</v>
      </c>
      <c r="L34" s="19"/>
      <c r="M34" s="19"/>
      <c r="N34" s="19"/>
      <c r="O34" s="19"/>
      <c r="P34" s="19"/>
    </row>
    <row r="35" spans="1:16" s="6" customFormat="1" ht="17.399999999999999" x14ac:dyDescent="0.25">
      <c r="A35" s="4"/>
      <c r="B35" s="3"/>
      <c r="C35" s="4"/>
      <c r="D35" s="4"/>
      <c r="E35" s="15"/>
      <c r="F35" s="15"/>
      <c r="G35" s="16"/>
      <c r="H35" s="4"/>
      <c r="I35" s="4"/>
      <c r="J35" s="20"/>
      <c r="K35" s="21"/>
      <c r="L35" s="19"/>
      <c r="M35" s="19"/>
      <c r="N35" s="19"/>
      <c r="O35" s="19"/>
      <c r="P35" s="19"/>
    </row>
    <row r="36" spans="1:16" s="6" customFormat="1" ht="17.399999999999999" x14ac:dyDescent="0.25">
      <c r="A36" s="22"/>
      <c r="B36" s="23"/>
      <c r="C36" s="22"/>
      <c r="D36" s="22"/>
      <c r="E36" s="24"/>
      <c r="F36" s="24"/>
      <c r="G36" s="25"/>
      <c r="H36" s="22"/>
      <c r="I36" s="22"/>
      <c r="J36" s="26"/>
      <c r="K36" s="21"/>
      <c r="L36" s="19"/>
      <c r="M36" s="19"/>
      <c r="N36" s="19"/>
      <c r="O36" s="19"/>
      <c r="P36" s="19"/>
    </row>
    <row r="37" spans="1:16" s="6" customFormat="1" ht="17.399999999999999" x14ac:dyDescent="0.25">
      <c r="A37" s="22"/>
      <c r="B37" s="23"/>
      <c r="C37" s="22"/>
      <c r="D37" s="22"/>
      <c r="E37" s="24"/>
      <c r="F37" s="24"/>
      <c r="G37" s="25"/>
      <c r="H37" s="22"/>
      <c r="I37" s="22"/>
      <c r="J37" s="26"/>
      <c r="K37" s="21"/>
      <c r="L37" s="19"/>
      <c r="M37" s="19"/>
      <c r="N37" s="19"/>
      <c r="O37" s="19"/>
      <c r="P37" s="19"/>
    </row>
    <row r="38" spans="1:16" ht="17.399999999999999" x14ac:dyDescent="0.25">
      <c r="K38" s="21"/>
    </row>
    <row r="41" spans="1:16" ht="17.399999999999999" x14ac:dyDescent="0.25">
      <c r="K41" s="21"/>
    </row>
  </sheetData>
  <autoFilter ref="A2:P38"/>
  <mergeCells count="1">
    <mergeCell ref="A1:B1"/>
  </mergeCells>
  <phoneticPr fontId="8" type="noConversion"/>
  <conditionalFormatting sqref="G3"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50"/>
  <sheetViews>
    <sheetView workbookViewId="0">
      <pane xSplit="1" ySplit="1" topLeftCell="B9" activePane="bottomRight" state="frozen"/>
      <selection pane="topRight"/>
      <selection pane="bottomLeft"/>
      <selection pane="bottomRight" activeCell="R20" sqref="R20:R35"/>
    </sheetView>
  </sheetViews>
  <sheetFormatPr defaultColWidth="9" defaultRowHeight="14.4" x14ac:dyDescent="0.25"/>
  <cols>
    <col min="1" max="1" width="12.6640625" customWidth="1"/>
    <col min="2" max="2" width="44" customWidth="1"/>
    <col min="3" max="3" width="4.88671875" customWidth="1"/>
  </cols>
  <sheetData>
    <row r="1" spans="1:20" ht="34.799999999999997" x14ac:dyDescent="0.25">
      <c r="A1" s="1" t="s">
        <v>2</v>
      </c>
      <c r="B1" s="1" t="s">
        <v>12</v>
      </c>
      <c r="C1" s="2" t="s">
        <v>8</v>
      </c>
    </row>
    <row r="2" spans="1:20" ht="17.399999999999999" x14ac:dyDescent="0.25">
      <c r="A2" s="3" t="s">
        <v>13</v>
      </c>
      <c r="B2" s="3" t="s">
        <v>14</v>
      </c>
      <c r="C2" s="4">
        <v>6</v>
      </c>
      <c r="D2" t="str">
        <f>VLOOKUP(A2,'[1]BOM 0522 检查BC 旧料号'!$B:$B,1,0)</f>
        <v>LBA000003800</v>
      </c>
    </row>
    <row r="3" spans="1:20" ht="17.399999999999999" x14ac:dyDescent="0.25">
      <c r="A3" s="3" t="s">
        <v>15</v>
      </c>
      <c r="B3" s="3" t="s">
        <v>16</v>
      </c>
      <c r="C3" s="4">
        <v>5</v>
      </c>
      <c r="D3" t="str">
        <f>VLOOKUP(A3,'[1]BOM 0522 检查BC 旧料号'!$B:$B,1,0)</f>
        <v>LBA000019900</v>
      </c>
    </row>
    <row r="4" spans="1:20" ht="17.399999999999999" x14ac:dyDescent="0.25">
      <c r="A4" s="3" t="s">
        <v>17</v>
      </c>
      <c r="B4" s="3" t="s">
        <v>18</v>
      </c>
      <c r="C4" s="4">
        <v>4</v>
      </c>
      <c r="D4" t="str">
        <f>VLOOKUP(A4,'[1]BOM 0522 检查BC 旧料号'!$B:$B,1,0)</f>
        <v>LBC000005200</v>
      </c>
    </row>
    <row r="5" spans="1:20" ht="17.399999999999999" x14ac:dyDescent="0.25">
      <c r="A5" s="3" t="s">
        <v>19</v>
      </c>
      <c r="B5" s="3" t="s">
        <v>20</v>
      </c>
      <c r="C5" s="4">
        <v>15</v>
      </c>
      <c r="D5" t="str">
        <f>VLOOKUP(A5,'[1]BOM 0522 检查BC 旧料号'!$B:$B,1,0)</f>
        <v>LBC000004900</v>
      </c>
    </row>
    <row r="6" spans="1:20" ht="17.399999999999999" x14ac:dyDescent="0.25">
      <c r="A6" s="3" t="s">
        <v>21</v>
      </c>
      <c r="B6" s="3" t="s">
        <v>22</v>
      </c>
      <c r="C6" s="4">
        <v>10</v>
      </c>
      <c r="D6" t="str">
        <f>VLOOKUP(A6,'[1]BOM 0522 检查BC 旧料号'!$B:$B,1,0)</f>
        <v>LBF000002300</v>
      </c>
    </row>
    <row r="7" spans="1:20" ht="17.399999999999999" x14ac:dyDescent="0.25">
      <c r="A7" s="3" t="s">
        <v>23</v>
      </c>
      <c r="B7" s="3" t="s">
        <v>24</v>
      </c>
      <c r="C7" s="4">
        <v>4</v>
      </c>
      <c r="D7" t="str">
        <f>VLOOKUP(A7,'[1]BOM 0522 检查BC 旧料号'!$B:$B,1,0)</f>
        <v>LBA000008800</v>
      </c>
    </row>
    <row r="8" spans="1:20" ht="17.399999999999999" x14ac:dyDescent="0.25">
      <c r="A8" s="3" t="s">
        <v>25</v>
      </c>
      <c r="B8" s="3" t="s">
        <v>26</v>
      </c>
      <c r="C8" s="4">
        <v>8</v>
      </c>
      <c r="D8" t="str">
        <f>VLOOKUP(A8,'[1]BOM 0522 检查BC 旧料号'!$B:$B,1,0)</f>
        <v>LBC000038900</v>
      </c>
    </row>
    <row r="9" spans="1:20" ht="17.399999999999999" x14ac:dyDescent="0.25">
      <c r="A9" t="s">
        <v>27</v>
      </c>
      <c r="C9" s="4">
        <v>4</v>
      </c>
      <c r="D9" t="str">
        <f>VLOOKUP(A9,'[1]BOM 0522 检查BC 旧料号'!$B:$B,1,0)</f>
        <v>LBA000003700</v>
      </c>
    </row>
    <row r="10" spans="1:20" ht="17.399999999999999" x14ac:dyDescent="0.25">
      <c r="A10" t="s">
        <v>28</v>
      </c>
      <c r="C10" s="4">
        <v>4</v>
      </c>
      <c r="D10" t="str">
        <f>VLOOKUP(A10,'[1]BOM 0522 检查BC 旧料号'!$B:$B,1,0)</f>
        <v>LBA000010600</v>
      </c>
    </row>
    <row r="11" spans="1:20" ht="17.399999999999999" x14ac:dyDescent="0.25">
      <c r="A11" t="s">
        <v>29</v>
      </c>
      <c r="C11" s="4">
        <v>6</v>
      </c>
      <c r="D11" t="str">
        <f>VLOOKUP(A11,'[1]BOM 0522 检查BC 旧料号'!$B:$B,1,0)</f>
        <v>LBA000020000</v>
      </c>
    </row>
    <row r="12" spans="1:20" ht="17.399999999999999" x14ac:dyDescent="0.25">
      <c r="A12" t="s">
        <v>30</v>
      </c>
      <c r="C12" s="4">
        <v>8</v>
      </c>
      <c r="D12" t="str">
        <f>VLOOKUP(A12,'[1]BOM 0522 检查BC 旧料号'!$B:$B,1,0)</f>
        <v>LBA000040200</v>
      </c>
    </row>
    <row r="13" spans="1:20" ht="17.399999999999999" x14ac:dyDescent="0.25">
      <c r="A13" t="s">
        <v>31</v>
      </c>
      <c r="C13" s="4">
        <v>50</v>
      </c>
      <c r="D13" t="str">
        <f>VLOOKUP(A13,'[1]BOM 0522 检查BC 旧料号'!$B:$B,1,0)</f>
        <v>LBA000051000</v>
      </c>
      <c r="K13" t="s">
        <v>32</v>
      </c>
      <c r="L13">
        <v>1261</v>
      </c>
      <c r="M13" t="s">
        <v>33</v>
      </c>
      <c r="O13" t="s">
        <v>34</v>
      </c>
      <c r="P13" t="s">
        <v>35</v>
      </c>
      <c r="R13">
        <v>0</v>
      </c>
    </row>
    <row r="14" spans="1:20" ht="17.399999999999999" hidden="1" x14ac:dyDescent="0.25">
      <c r="A14" t="s">
        <v>36</v>
      </c>
      <c r="C14" s="4">
        <v>4</v>
      </c>
      <c r="D14" t="str">
        <f>VLOOKUP(A14,'[1]BOM 0522 检查BC 旧料号'!$B:$B,1,0)</f>
        <v>LBC000020500</v>
      </c>
      <c r="K14" t="s">
        <v>37</v>
      </c>
      <c r="L14">
        <v>1261</v>
      </c>
      <c r="M14" t="s">
        <v>33</v>
      </c>
      <c r="O14" t="s">
        <v>34</v>
      </c>
      <c r="P14" t="s">
        <v>35</v>
      </c>
      <c r="R14" s="5" t="s">
        <v>38</v>
      </c>
      <c r="T14" t="str">
        <f>VLOOKUP(R14,K:M,3,0)</f>
        <v>PD</v>
      </c>
    </row>
    <row r="15" spans="1:20" ht="17.399999999999999" hidden="1" x14ac:dyDescent="0.25">
      <c r="A15" t="s">
        <v>39</v>
      </c>
      <c r="C15" s="4">
        <v>20</v>
      </c>
      <c r="D15" t="str">
        <f>VLOOKUP(A15,'[1]BOM 0522 检查BC 旧料号'!$B:$B,1,0)</f>
        <v>LBC000026700</v>
      </c>
      <c r="K15" t="s">
        <v>38</v>
      </c>
      <c r="L15">
        <v>1261</v>
      </c>
      <c r="M15" t="s">
        <v>33</v>
      </c>
      <c r="O15" t="s">
        <v>34</v>
      </c>
      <c r="P15" t="s">
        <v>35</v>
      </c>
      <c r="R15" s="5" t="s">
        <v>32</v>
      </c>
      <c r="T15" t="str">
        <f t="shared" ref="T15:T36" si="0">VLOOKUP(R15,K:M,3,0)</f>
        <v>PD</v>
      </c>
    </row>
    <row r="16" spans="1:20" ht="17.399999999999999" hidden="1" x14ac:dyDescent="0.25">
      <c r="A16" t="s">
        <v>40</v>
      </c>
      <c r="C16" s="4">
        <v>8</v>
      </c>
      <c r="D16" t="str">
        <f>VLOOKUP(A16,'[1]BOM 0522 检查BC 旧料号'!$B:$B,1,0)</f>
        <v>LBC000011500</v>
      </c>
      <c r="K16" t="s">
        <v>41</v>
      </c>
      <c r="L16">
        <v>1261</v>
      </c>
      <c r="M16" t="s">
        <v>33</v>
      </c>
      <c r="O16" t="s">
        <v>34</v>
      </c>
      <c r="P16" t="s">
        <v>35</v>
      </c>
      <c r="R16" s="5" t="s">
        <v>37</v>
      </c>
      <c r="T16" t="str">
        <f t="shared" si="0"/>
        <v>PD</v>
      </c>
    </row>
    <row r="17" spans="1:20" ht="17.399999999999999" hidden="1" x14ac:dyDescent="0.25">
      <c r="A17" t="s">
        <v>42</v>
      </c>
      <c r="C17" s="4">
        <v>8</v>
      </c>
      <c r="D17" t="str">
        <f>VLOOKUP(A17,'[1]BOM 0522 检查BC 旧料号'!$B:$B,1,0)</f>
        <v>LBC000003000</v>
      </c>
      <c r="K17" t="s">
        <v>43</v>
      </c>
      <c r="L17">
        <v>1261</v>
      </c>
      <c r="M17" t="s">
        <v>33</v>
      </c>
      <c r="O17" t="s">
        <v>34</v>
      </c>
      <c r="P17" t="s">
        <v>35</v>
      </c>
      <c r="R17" s="5" t="s">
        <v>44</v>
      </c>
      <c r="T17" t="str">
        <f t="shared" si="0"/>
        <v>PD</v>
      </c>
    </row>
    <row r="18" spans="1:20" ht="17.399999999999999" hidden="1" x14ac:dyDescent="0.25">
      <c r="A18" t="s">
        <v>45</v>
      </c>
      <c r="C18" s="4">
        <v>4</v>
      </c>
      <c r="D18" t="str">
        <f>VLOOKUP(A18,'[1]BOM 0522 检查BC 旧料号'!$B:$B,1,0)</f>
        <v>LBC000026600</v>
      </c>
      <c r="K18" t="s">
        <v>44</v>
      </c>
      <c r="L18">
        <v>1261</v>
      </c>
      <c r="M18" t="s">
        <v>33</v>
      </c>
      <c r="O18" t="s">
        <v>34</v>
      </c>
      <c r="P18" t="s">
        <v>35</v>
      </c>
      <c r="R18" s="5" t="s">
        <v>46</v>
      </c>
      <c r="T18" t="str">
        <f t="shared" si="0"/>
        <v>PD</v>
      </c>
    </row>
    <row r="19" spans="1:20" ht="17.399999999999999" hidden="1" x14ac:dyDescent="0.25">
      <c r="A19" t="s">
        <v>47</v>
      </c>
      <c r="C19" s="4">
        <v>60</v>
      </c>
      <c r="D19" t="str">
        <f>VLOOKUP(A19,'[1]BOM 0522 检查BC 旧料号'!$B:$B,1,0)</f>
        <v>LBC000026800</v>
      </c>
      <c r="K19" t="s">
        <v>48</v>
      </c>
      <c r="L19">
        <v>1261</v>
      </c>
      <c r="M19" t="s">
        <v>33</v>
      </c>
      <c r="O19" t="s">
        <v>34</v>
      </c>
      <c r="P19" t="s">
        <v>35</v>
      </c>
      <c r="R19" s="5" t="s">
        <v>41</v>
      </c>
      <c r="T19" t="str">
        <f t="shared" si="0"/>
        <v>PD</v>
      </c>
    </row>
    <row r="20" spans="1:20" ht="17.399999999999999" x14ac:dyDescent="0.25">
      <c r="A20" t="s">
        <v>49</v>
      </c>
      <c r="C20" s="4">
        <v>6</v>
      </c>
      <c r="D20" t="str">
        <f>VLOOKUP(A20,'[1]BOM 0522 检查BC 旧料号'!$B:$B,1,0)</f>
        <v>LBC000011300</v>
      </c>
      <c r="K20" t="s">
        <v>50</v>
      </c>
      <c r="L20">
        <v>1261</v>
      </c>
      <c r="R20" s="5" t="s">
        <v>50</v>
      </c>
      <c r="T20">
        <f t="shared" si="0"/>
        <v>0</v>
      </c>
    </row>
    <row r="21" spans="1:20" ht="17.399999999999999" x14ac:dyDescent="0.25">
      <c r="A21" t="s">
        <v>51</v>
      </c>
      <c r="C21" s="4">
        <v>12</v>
      </c>
      <c r="D21" t="str">
        <f>VLOOKUP(A21,'[1]BOM 0522 检查BC 旧料号'!$B:$B,1,0)</f>
        <v>LBC000003100</v>
      </c>
      <c r="K21" t="s">
        <v>52</v>
      </c>
      <c r="L21">
        <v>1261</v>
      </c>
      <c r="R21" s="5" t="s">
        <v>52</v>
      </c>
      <c r="T21">
        <f t="shared" si="0"/>
        <v>0</v>
      </c>
    </row>
    <row r="22" spans="1:20" ht="17.399999999999999" x14ac:dyDescent="0.25">
      <c r="A22" t="s">
        <v>53</v>
      </c>
      <c r="C22" s="4">
        <v>12</v>
      </c>
      <c r="D22" t="str">
        <f>VLOOKUP(A22,'[1]BOM 0522 检查BC 旧料号'!$B:$B,1,0)</f>
        <v>LBC000012100</v>
      </c>
      <c r="K22" t="s">
        <v>54</v>
      </c>
      <c r="L22">
        <v>1261</v>
      </c>
      <c r="R22" s="5" t="s">
        <v>54</v>
      </c>
      <c r="T22">
        <f t="shared" si="0"/>
        <v>0</v>
      </c>
    </row>
    <row r="23" spans="1:20" ht="17.399999999999999" x14ac:dyDescent="0.25">
      <c r="A23" t="s">
        <v>55</v>
      </c>
      <c r="C23" s="4">
        <v>4</v>
      </c>
      <c r="D23" t="str">
        <f>VLOOKUP(A23,'[1]BOM 0522 检查BC 旧料号'!$B:$B,1,0)</f>
        <v>LBC000008500</v>
      </c>
      <c r="K23" t="s">
        <v>56</v>
      </c>
      <c r="L23">
        <v>1261</v>
      </c>
      <c r="R23" s="5" t="s">
        <v>56</v>
      </c>
      <c r="T23">
        <f t="shared" si="0"/>
        <v>0</v>
      </c>
    </row>
    <row r="24" spans="1:20" ht="17.399999999999999" x14ac:dyDescent="0.25">
      <c r="A24" t="s">
        <v>57</v>
      </c>
      <c r="C24" s="4">
        <v>60</v>
      </c>
      <c r="D24" t="str">
        <f>VLOOKUP(A24,'[1]BOM 0522 检查BC 旧料号'!$B:$B,1,0)</f>
        <v>LBC000018800</v>
      </c>
      <c r="K24" t="s">
        <v>58</v>
      </c>
      <c r="L24">
        <v>1261</v>
      </c>
      <c r="R24" s="5" t="s">
        <v>58</v>
      </c>
      <c r="T24">
        <f t="shared" si="0"/>
        <v>0</v>
      </c>
    </row>
    <row r="25" spans="1:20" ht="17.399999999999999" x14ac:dyDescent="0.25">
      <c r="A25" t="s">
        <v>59</v>
      </c>
      <c r="C25" s="4">
        <v>10</v>
      </c>
      <c r="D25" t="str">
        <f>VLOOKUP(A25,'[1]BOM 0522 检查BC 旧料号'!$B:$B,1,0)</f>
        <v>LBC000022000</v>
      </c>
      <c r="K25" t="s">
        <v>60</v>
      </c>
      <c r="L25">
        <v>1261</v>
      </c>
      <c r="R25" s="5" t="s">
        <v>60</v>
      </c>
      <c r="T25">
        <f t="shared" si="0"/>
        <v>0</v>
      </c>
    </row>
    <row r="26" spans="1:20" ht="17.399999999999999" x14ac:dyDescent="0.25">
      <c r="A26" t="s">
        <v>61</v>
      </c>
      <c r="C26" s="4">
        <v>8</v>
      </c>
      <c r="D26" t="str">
        <f>VLOOKUP(A26,'[1]BOM 0522 检查BC 旧料号'!$B:$B,1,0)</f>
        <v>LBC000025500</v>
      </c>
      <c r="K26" t="s">
        <v>62</v>
      </c>
      <c r="L26">
        <v>1261</v>
      </c>
      <c r="R26" s="5" t="s">
        <v>62</v>
      </c>
      <c r="T26">
        <f t="shared" si="0"/>
        <v>0</v>
      </c>
    </row>
    <row r="27" spans="1:20" ht="17.399999999999999" x14ac:dyDescent="0.25">
      <c r="A27" t="s">
        <v>63</v>
      </c>
      <c r="C27" s="4">
        <v>5</v>
      </c>
      <c r="D27" t="str">
        <f>VLOOKUP(A27,'[1]BOM 0522 检查BC 旧料号'!$B:$B,1,0)</f>
        <v>LBC000000300</v>
      </c>
      <c r="K27" t="s">
        <v>64</v>
      </c>
      <c r="L27">
        <v>1261</v>
      </c>
      <c r="R27" s="5" t="s">
        <v>64</v>
      </c>
      <c r="T27">
        <f t="shared" si="0"/>
        <v>0</v>
      </c>
    </row>
    <row r="28" spans="1:20" ht="17.399999999999999" x14ac:dyDescent="0.25">
      <c r="A28" t="s">
        <v>65</v>
      </c>
      <c r="C28" s="4">
        <v>8</v>
      </c>
      <c r="D28" t="str">
        <f>VLOOKUP(A28,'[1]BOM 0522 检查BC 旧料号'!$B:$B,1,0)</f>
        <v>LBC000021600</v>
      </c>
      <c r="K28" t="s">
        <v>66</v>
      </c>
      <c r="L28">
        <v>1261</v>
      </c>
      <c r="R28" s="5" t="s">
        <v>66</v>
      </c>
      <c r="T28">
        <f t="shared" si="0"/>
        <v>0</v>
      </c>
    </row>
    <row r="29" spans="1:20" ht="17.399999999999999" x14ac:dyDescent="0.25">
      <c r="A29" t="s">
        <v>67</v>
      </c>
      <c r="C29" s="4">
        <v>4</v>
      </c>
      <c r="D29" t="str">
        <f>VLOOKUP(A29,'[1]BOM 0522 检查BC 旧料号'!$B:$B,1,0)</f>
        <v>LBA000048900</v>
      </c>
      <c r="K29" t="s">
        <v>68</v>
      </c>
      <c r="L29">
        <v>1261</v>
      </c>
      <c r="R29" s="5" t="s">
        <v>68</v>
      </c>
      <c r="T29">
        <f t="shared" si="0"/>
        <v>0</v>
      </c>
    </row>
    <row r="30" spans="1:20" ht="17.399999999999999" x14ac:dyDescent="0.25">
      <c r="A30" t="s">
        <v>69</v>
      </c>
      <c r="C30" s="4">
        <v>8</v>
      </c>
      <c r="D30" t="str">
        <f>VLOOKUP(A30,'[1]BOM 0522 检查BC 旧料号'!$B:$B,1,0)</f>
        <v>LBA000004500</v>
      </c>
      <c r="K30" t="s">
        <v>70</v>
      </c>
      <c r="L30">
        <v>1261</v>
      </c>
      <c r="R30" s="5" t="s">
        <v>70</v>
      </c>
      <c r="T30">
        <f t="shared" si="0"/>
        <v>0</v>
      </c>
    </row>
    <row r="31" spans="1:20" ht="17.399999999999999" x14ac:dyDescent="0.25">
      <c r="A31" t="s">
        <v>71</v>
      </c>
      <c r="C31" s="4">
        <v>12</v>
      </c>
      <c r="D31" t="str">
        <f>VLOOKUP(A31,'[1]BOM 0522 检查BC 旧料号'!$B:$B,1,0)</f>
        <v>LBA000004700</v>
      </c>
      <c r="K31" t="s">
        <v>72</v>
      </c>
      <c r="L31">
        <v>1261</v>
      </c>
      <c r="R31" s="5" t="s">
        <v>72</v>
      </c>
      <c r="T31">
        <f t="shared" si="0"/>
        <v>0</v>
      </c>
    </row>
    <row r="32" spans="1:20" ht="17.399999999999999" x14ac:dyDescent="0.25">
      <c r="A32" t="s">
        <v>73</v>
      </c>
      <c r="C32" s="4">
        <v>10</v>
      </c>
      <c r="D32" t="str">
        <f>VLOOKUP(A32,'[1]BOM 0522 检查BC 旧料号'!$B:$B,1,0)</f>
        <v>LBA000010100</v>
      </c>
      <c r="K32" t="s">
        <v>74</v>
      </c>
      <c r="L32">
        <v>1261</v>
      </c>
      <c r="R32" s="5" t="s">
        <v>74</v>
      </c>
      <c r="T32">
        <f t="shared" si="0"/>
        <v>0</v>
      </c>
    </row>
    <row r="33" spans="1:20" ht="17.399999999999999" hidden="1" x14ac:dyDescent="0.25">
      <c r="A33" t="s">
        <v>75</v>
      </c>
      <c r="C33" s="4">
        <v>15</v>
      </c>
      <c r="D33" t="str">
        <f>VLOOKUP(A33,'[1]BOM 0522 检查BC 旧料号'!$B:$B,1,0)</f>
        <v>LBA000052200</v>
      </c>
      <c r="K33" t="s">
        <v>76</v>
      </c>
      <c r="L33">
        <v>1261</v>
      </c>
      <c r="R33" s="5" t="s">
        <v>43</v>
      </c>
      <c r="T33" t="str">
        <f t="shared" si="0"/>
        <v>PD</v>
      </c>
    </row>
    <row r="34" spans="1:20" ht="17.399999999999999" x14ac:dyDescent="0.25">
      <c r="A34" t="s">
        <v>77</v>
      </c>
      <c r="C34" s="4">
        <v>15</v>
      </c>
      <c r="D34" t="str">
        <f>VLOOKUP(A34,'[1]BOM 0522 检查BC 旧料号'!$B:$B,1,0)</f>
        <v>LBA000020600</v>
      </c>
      <c r="K34" t="s">
        <v>11</v>
      </c>
      <c r="L34">
        <v>1261</v>
      </c>
      <c r="R34" s="5" t="s">
        <v>76</v>
      </c>
      <c r="T34">
        <f t="shared" si="0"/>
        <v>0</v>
      </c>
    </row>
    <row r="35" spans="1:20" ht="17.399999999999999" x14ac:dyDescent="0.25">
      <c r="A35" t="s">
        <v>78</v>
      </c>
      <c r="C35" s="4">
        <v>8</v>
      </c>
      <c r="D35" t="str">
        <f>VLOOKUP(A35,'[1]BOM 0522 检查BC 旧料号'!$B:$B,1,0)</f>
        <v>LBA000020800</v>
      </c>
      <c r="K35" t="s">
        <v>46</v>
      </c>
      <c r="L35">
        <v>1261</v>
      </c>
      <c r="M35" t="s">
        <v>33</v>
      </c>
      <c r="O35" t="s">
        <v>34</v>
      </c>
      <c r="P35" t="s">
        <v>35</v>
      </c>
      <c r="R35" s="5" t="s">
        <v>11</v>
      </c>
      <c r="T35">
        <f t="shared" si="0"/>
        <v>0</v>
      </c>
    </row>
    <row r="36" spans="1:20" ht="17.399999999999999" hidden="1" x14ac:dyDescent="0.25">
      <c r="A36" t="s">
        <v>79</v>
      </c>
      <c r="C36" s="4">
        <v>5</v>
      </c>
      <c r="D36" t="str">
        <f>VLOOKUP(A36,'[1]BOM 0522 检查BC 旧料号'!$B:$B,1,0)</f>
        <v>LBA000029600</v>
      </c>
      <c r="R36" s="5" t="s">
        <v>48</v>
      </c>
      <c r="T36" t="str">
        <f t="shared" si="0"/>
        <v>PD</v>
      </c>
    </row>
    <row r="37" spans="1:20" ht="17.399999999999999" x14ac:dyDescent="0.25">
      <c r="A37" t="s">
        <v>80</v>
      </c>
      <c r="C37" s="4">
        <v>12</v>
      </c>
      <c r="D37" t="str">
        <f>VLOOKUP(A37,'[1]BOM 0522 检查BC 旧料号'!$B:$B,1,0)</f>
        <v>LBA000020300</v>
      </c>
    </row>
    <row r="38" spans="1:20" ht="17.399999999999999" x14ac:dyDescent="0.25">
      <c r="A38" t="s">
        <v>81</v>
      </c>
      <c r="C38" s="4">
        <v>10</v>
      </c>
      <c r="D38" t="str">
        <f>VLOOKUP(A38,'[1]BOM 0522 检查BC 旧料号'!$B:$B,1,0)</f>
        <v>LBA000020500</v>
      </c>
    </row>
    <row r="39" spans="1:20" ht="17.399999999999999" x14ac:dyDescent="0.25">
      <c r="A39" t="s">
        <v>82</v>
      </c>
      <c r="C39" s="4">
        <v>4</v>
      </c>
      <c r="D39" t="str">
        <f>VLOOKUP(A39,'[1]BOM 0522 检查BC 旧料号'!$B:$B,1,0)</f>
        <v>LBA000017700</v>
      </c>
    </row>
    <row r="40" spans="1:20" ht="17.399999999999999" x14ac:dyDescent="0.25">
      <c r="A40" t="s">
        <v>83</v>
      </c>
      <c r="C40" s="4">
        <v>4</v>
      </c>
      <c r="D40" t="str">
        <f>VLOOKUP(A40,'[1]BOM 0522 检查BC 旧料号'!$B:$B,1,0)</f>
        <v>LBA000017300</v>
      </c>
    </row>
    <row r="41" spans="1:20" ht="17.399999999999999" x14ac:dyDescent="0.25">
      <c r="A41" t="s">
        <v>84</v>
      </c>
      <c r="C41" s="4">
        <v>4</v>
      </c>
      <c r="D41" t="str">
        <f>VLOOKUP(A41,'[1]BOM 0522 检查BC 旧料号'!$B:$B,1,0)</f>
        <v>LBA000017800</v>
      </c>
    </row>
    <row r="42" spans="1:20" ht="17.399999999999999" x14ac:dyDescent="0.25">
      <c r="A42" t="s">
        <v>85</v>
      </c>
      <c r="C42" s="4">
        <v>4</v>
      </c>
      <c r="D42" t="str">
        <f>VLOOKUP(A42,'[1]BOM 0522 检查BC 旧料号'!$B:$B,1,0)</f>
        <v>LBA000017900</v>
      </c>
    </row>
    <row r="43" spans="1:20" ht="17.399999999999999" x14ac:dyDescent="0.25">
      <c r="A43" t="s">
        <v>86</v>
      </c>
      <c r="C43" s="4">
        <v>4</v>
      </c>
      <c r="D43" t="str">
        <f>VLOOKUP(A43,'[1]BOM 0522 检查BC 旧料号'!$B:$B,1,0)</f>
        <v>LBA000015800</v>
      </c>
    </row>
    <row r="44" spans="1:20" ht="17.399999999999999" x14ac:dyDescent="0.25">
      <c r="A44" t="s">
        <v>87</v>
      </c>
      <c r="C44" s="4">
        <v>14</v>
      </c>
      <c r="D44" t="str">
        <f>VLOOKUP(A44,'[1]BOM 0522 检查BC 旧料号'!$B:$B,1,0)</f>
        <v>LBC000003200</v>
      </c>
    </row>
    <row r="45" spans="1:20" ht="17.399999999999999" x14ac:dyDescent="0.25">
      <c r="A45" t="s">
        <v>88</v>
      </c>
      <c r="C45" s="4">
        <v>4</v>
      </c>
      <c r="D45" t="str">
        <f>VLOOKUP(A45,'[1]BOM 0522 检查BC 旧料号'!$B:$B,1,0)</f>
        <v>LBC000002500</v>
      </c>
    </row>
    <row r="46" spans="1:20" ht="17.399999999999999" x14ac:dyDescent="0.25">
      <c r="A46" t="s">
        <v>89</v>
      </c>
      <c r="C46" s="4">
        <v>4</v>
      </c>
      <c r="D46" t="str">
        <f>VLOOKUP(A46,'[1]BOM 0522 检查BC 旧料号'!$B:$B,1,0)</f>
        <v>LBC000023300</v>
      </c>
    </row>
    <row r="47" spans="1:20" ht="17.399999999999999" x14ac:dyDescent="0.25">
      <c r="A47" t="s">
        <v>90</v>
      </c>
      <c r="C47" s="4">
        <v>2</v>
      </c>
      <c r="D47" t="str">
        <f>VLOOKUP(A47,'[1]BOM 0522 检查BC 旧料号'!$B:$B,1,0)</f>
        <v>LBC000021200</v>
      </c>
    </row>
    <row r="48" spans="1:20" ht="17.399999999999999" x14ac:dyDescent="0.25">
      <c r="A48" t="s">
        <v>91</v>
      </c>
      <c r="C48" s="4">
        <v>6</v>
      </c>
      <c r="D48" t="str">
        <f>VLOOKUP(A48,'[1]BOM 0522 检查BC 旧料号'!$B:$B,1,0)</f>
        <v>LBC000019800</v>
      </c>
    </row>
    <row r="49" spans="1:4" ht="17.399999999999999" x14ac:dyDescent="0.25">
      <c r="A49" t="s">
        <v>92</v>
      </c>
      <c r="C49" s="4">
        <v>4</v>
      </c>
      <c r="D49" t="str">
        <f>VLOOKUP(A49,'[1]BOM 0522 检查BC 旧料号'!$B:$B,1,0)</f>
        <v>LBC000007401</v>
      </c>
    </row>
    <row r="50" spans="1:4" ht="17.399999999999999" x14ac:dyDescent="0.25">
      <c r="A50" t="s">
        <v>93</v>
      </c>
      <c r="C50" s="4">
        <v>18</v>
      </c>
      <c r="D50" t="str">
        <f>VLOOKUP(A50,'[1]BOM 0522 检查BC 旧料号'!$B:$B,1,0)</f>
        <v>LBC000019200</v>
      </c>
    </row>
  </sheetData>
  <autoFilter ref="R13:T36">
    <filterColumn colId="2">
      <filters>
        <filter val="0"/>
      </filters>
    </filterColumn>
  </autoFilter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不拆分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HMJ</cp:lastModifiedBy>
  <dcterms:created xsi:type="dcterms:W3CDTF">2023-07-24T06:22:00Z</dcterms:created>
  <dcterms:modified xsi:type="dcterms:W3CDTF">2026-01-16T03:51:09Z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D0204685D0154F2BAF89E8DA5424FA92_13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