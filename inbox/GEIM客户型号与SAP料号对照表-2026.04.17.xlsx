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225" firstSheet="2" activeTab="3"/>
  </bookViews>
  <sheets>
    <sheet name="WPN系列料号GEIM编码对照表" sheetId="1" r:id="rId1"/>
    <sheet name="NEH系列料号GEIM编码对照表" sheetId="2" r:id="rId2"/>
    <sheet name="NEXP系列料号GEIM编码对照表" sheetId="3" r:id="rId3"/>
    <sheet name="Sheet1" sheetId="4" r:id="rId4"/>
  </sheets>
  <externalReferences>
    <externalReference r:id="rId5"/>
  </externalReferences>
  <definedNames>
    <definedName name="_xlnm._FilterDatabase" localSheetId="0" hidden="1">WPN系列料号GEIM编码对照表!$A$2:$E$177</definedName>
    <definedName name="_xlnm._FilterDatabase" localSheetId="1" hidden="1">NEH系列料号GEIM编码对照表!$A$2:$F$17</definedName>
    <definedName name="_xlnm._FilterDatabase" localSheetId="2" hidden="1">NEXP系列料号GEIM编码对照表!$A$2:$E$45</definedName>
    <definedName name="_xlnm._FilterDatabase" localSheetId="3" hidden="1">Sheet1!$A$1:$K$45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<sst xmlns="http://schemas.openxmlformats.org/spreadsheetml/2006/main" count="1038" uniqueCount="560">
  <si>
    <t>WPN系列料号GEIM编码对照表</t>
  </si>
  <si>
    <t>序号</t>
  </si>
  <si>
    <t>物料号</t>
  </si>
  <si>
    <t>GEIM型号</t>
  </si>
  <si>
    <t>马力
HP</t>
  </si>
  <si>
    <t>电压
V</t>
  </si>
  <si>
    <t>LBA000089800</t>
  </si>
  <si>
    <t>5KS143BWV120  WV577</t>
  </si>
  <si>
    <t>230/460V</t>
  </si>
  <si>
    <t>LBA000089900</t>
  </si>
  <si>
    <t>5KS143KWV101  WV578</t>
  </si>
  <si>
    <t>LBA000101800</t>
  </si>
  <si>
    <t>5KS143KWV110  WV229</t>
  </si>
  <si>
    <t>LBA000102900</t>
  </si>
  <si>
    <t>5KS143KWV111  WV329</t>
  </si>
  <si>
    <t>LBA000088300</t>
  </si>
  <si>
    <t>5KS143BWV105  WV001</t>
  </si>
  <si>
    <t>LBA000088400</t>
  </si>
  <si>
    <t>5KS143KWV105  WV101</t>
  </si>
  <si>
    <t>LBA000101900</t>
  </si>
  <si>
    <t>5KS143KWV103  WV201</t>
  </si>
  <si>
    <t>LBA000101901</t>
  </si>
  <si>
    <t>5KS143KWV109  WV301</t>
  </si>
  <si>
    <t>LBA000089200</t>
  </si>
  <si>
    <t>5KS145BWV105  WV003</t>
  </si>
  <si>
    <t>LBA000089300</t>
  </si>
  <si>
    <t>5KS145KWV105  WV103</t>
  </si>
  <si>
    <t>LBA000100100</t>
  </si>
  <si>
    <t>5KS145KWV103  WV203</t>
  </si>
  <si>
    <t>LBA000100101</t>
  </si>
  <si>
    <t>5KS145KWV109  WV303</t>
  </si>
  <si>
    <t>LBA000073800</t>
  </si>
  <si>
    <t>5KS182BWV105  WV005</t>
  </si>
  <si>
    <t>LBA000073900</t>
  </si>
  <si>
    <t>5KS182KWV105  WV105</t>
  </si>
  <si>
    <t>LBA000100200</t>
  </si>
  <si>
    <t>5KS182KWV103  WV205</t>
  </si>
  <si>
    <t>LBA000100201</t>
  </si>
  <si>
    <t>5KS182KWV109  WV305</t>
  </si>
  <si>
    <t>LBA000074200</t>
  </si>
  <si>
    <t>5KS184BWV105  WV007</t>
  </si>
  <si>
    <t>LBA000074300</t>
  </si>
  <si>
    <t>5KS184KWV105  WV107</t>
  </si>
  <si>
    <t>LBA000100300</t>
  </si>
  <si>
    <t>5KS184KWV103  WV207</t>
  </si>
  <si>
    <t>LBA000100301</t>
  </si>
  <si>
    <t>5KS184KWV109  WV307</t>
  </si>
  <si>
    <t>LBA000080400</t>
  </si>
  <si>
    <t>5KS213BWV105  WV009</t>
  </si>
  <si>
    <t>LBA000080600</t>
  </si>
  <si>
    <t>5KS213KWV105  WV109</t>
  </si>
  <si>
    <t>LBA000100500</t>
  </si>
  <si>
    <t>5KS213KWV103  WV209</t>
  </si>
  <si>
    <t>LBA000101300</t>
  </si>
  <si>
    <t>5KS213KWV109  WV309</t>
  </si>
  <si>
    <t>LBA000080800</t>
  </si>
  <si>
    <t>5KS215BWV105  WV011</t>
  </si>
  <si>
    <t>LBA000081000</t>
  </si>
  <si>
    <t>5KS215KWV105  WV111</t>
  </si>
  <si>
    <t>LBA000100700</t>
  </si>
  <si>
    <t>5KS215KWV103  WV211</t>
  </si>
  <si>
    <t>LBA000101500</t>
  </si>
  <si>
    <t>5KS215KWV109  WV311</t>
  </si>
  <si>
    <t>LBA000103500</t>
  </si>
  <si>
    <t>5KS215KWV121</t>
  </si>
  <si>
    <t>LBA000081200</t>
  </si>
  <si>
    <t>5KS254BWV105  WV013</t>
  </si>
  <si>
    <t>LBA000081400</t>
  </si>
  <si>
    <t>5KS254KWV105  WV113</t>
  </si>
  <si>
    <t>LBA000103700</t>
  </si>
  <si>
    <t>5KS215KWV125</t>
  </si>
  <si>
    <t>LBA000100900</t>
  </si>
  <si>
    <t>5KS254KWV103  WV213</t>
  </si>
  <si>
    <t>LBA000100901</t>
  </si>
  <si>
    <t>5KS254KWV109  WV313</t>
  </si>
  <si>
    <t>LBA000103400</t>
  </si>
  <si>
    <t>5KS215KWV120</t>
  </si>
  <si>
    <t>LBA000081800</t>
  </si>
  <si>
    <t>5KS256BWV105  WV015</t>
  </si>
  <si>
    <t>LBA000081900</t>
  </si>
  <si>
    <t>5KS256KWV105  WV115</t>
  </si>
  <si>
    <t>LBA000101000</t>
  </si>
  <si>
    <t>5KS256KWV103  WV215</t>
  </si>
  <si>
    <t>LBA000101600</t>
  </si>
  <si>
    <t>5KS256KWV109  WV315</t>
  </si>
  <si>
    <t>LBA000083600</t>
  </si>
  <si>
    <t>5KS284BWV115  WV017</t>
  </si>
  <si>
    <t>LBA000083700</t>
  </si>
  <si>
    <t>5KS284KWV115  WV117</t>
  </si>
  <si>
    <t>LBA000102500</t>
  </si>
  <si>
    <t>5KS284KWV113  WV217</t>
  </si>
  <si>
    <t>LBA000103000</t>
  </si>
  <si>
    <t>5KS284KWV119  WV317</t>
  </si>
  <si>
    <t>LBA000083800</t>
  </si>
  <si>
    <t>5KS286BWV115  WV019</t>
  </si>
  <si>
    <t>LBA000083900</t>
  </si>
  <si>
    <t>5KS286KWV115  WV119</t>
  </si>
  <si>
    <t>LBA000102700</t>
  </si>
  <si>
    <t>5KS286KWV113  WV219</t>
  </si>
  <si>
    <t>LBA000103200</t>
  </si>
  <si>
    <t>5KS286KWV119  WV019</t>
  </si>
  <si>
    <t>LBA000088500</t>
  </si>
  <si>
    <t>5KS143BWV205  WV000</t>
  </si>
  <si>
    <t>LBA000088600</t>
  </si>
  <si>
    <t>5KS143KWV205  WV100</t>
  </si>
  <si>
    <t>LBA000102000</t>
  </si>
  <si>
    <t>5KS143KWV203  WV200</t>
  </si>
  <si>
    <t>LBA000102001</t>
  </si>
  <si>
    <t>5KS143KWV209  WV300</t>
  </si>
  <si>
    <t>LBA000088900</t>
  </si>
  <si>
    <t>5KS145BWV201  WV002</t>
  </si>
  <si>
    <t>LBA000089000</t>
  </si>
  <si>
    <t>5KS145KWV201  WV102</t>
  </si>
  <si>
    <t>LBA000102100</t>
  </si>
  <si>
    <t>5KS145KWV202  WV202</t>
  </si>
  <si>
    <t>LBA000102101</t>
  </si>
  <si>
    <t>5KS145KWV207  WV302</t>
  </si>
  <si>
    <t>LBA000089500</t>
  </si>
  <si>
    <t>5KS145BWV205  WV004</t>
  </si>
  <si>
    <t>LBA000089600</t>
  </si>
  <si>
    <t>5KS145KWV205  WV104</t>
  </si>
  <si>
    <t>LBA000102200</t>
  </si>
  <si>
    <t>5KS145KWV203  WV204</t>
  </si>
  <si>
    <t>LBA000102201</t>
  </si>
  <si>
    <t>5KS145KWV209  WV304</t>
  </si>
  <si>
    <t>LBA000074000</t>
  </si>
  <si>
    <t>5KS182BWV205  WV006</t>
  </si>
  <si>
    <t>LBA000074100</t>
  </si>
  <si>
    <t>5KS182KWV205  WV106</t>
  </si>
  <si>
    <t>LBA000102300</t>
  </si>
  <si>
    <t>5KS182KWV203  WV206</t>
  </si>
  <si>
    <t>LBA000102301</t>
  </si>
  <si>
    <t>5KS182KWV209  WV306</t>
  </si>
  <si>
    <t>LBA000074400</t>
  </si>
  <si>
    <t>5KS184BWV205  WV008</t>
  </si>
  <si>
    <t>LBA000074500</t>
  </si>
  <si>
    <t>5KS184KWV205  WV108</t>
  </si>
  <si>
    <t>LBA000100400</t>
  </si>
  <si>
    <t>5KS184KWV203  WV208</t>
  </si>
  <si>
    <t>LBA000101200</t>
  </si>
  <si>
    <t>5KS184KWV209  WV308</t>
  </si>
  <si>
    <t>LBA000080500</t>
  </si>
  <si>
    <t>5KS213BWV205  WV010</t>
  </si>
  <si>
    <t>LBA000080700</t>
  </si>
  <si>
    <t>5KS213KWV205  WV110</t>
  </si>
  <si>
    <t>LBA000100600</t>
  </si>
  <si>
    <t>5KS213KWV203  WV210</t>
  </si>
  <si>
    <t>LBA000101400</t>
  </si>
  <si>
    <t>5KS213KWV209  WV310</t>
  </si>
  <si>
    <t>LBA000080900</t>
  </si>
  <si>
    <t>5KS215BWV205  WV012</t>
  </si>
  <si>
    <t>LBA000081100</t>
  </si>
  <si>
    <t>5KS215KWV205  WV112</t>
  </si>
  <si>
    <t>LBA000100800</t>
  </si>
  <si>
    <t>5KS215KWV203  WV212</t>
  </si>
  <si>
    <t>LBA000100801</t>
  </si>
  <si>
    <t>5KS215KWV209  WV312</t>
  </si>
  <si>
    <t>LBA000081300</t>
  </si>
  <si>
    <t>5KS254BWV205  WV014</t>
  </si>
  <si>
    <t>LBA000081700</t>
  </si>
  <si>
    <t>5KS254KWV205  WV114</t>
  </si>
  <si>
    <t>LBA000102400</t>
  </si>
  <si>
    <t>5KS254KWV203  WV214</t>
  </si>
  <si>
    <t>LBA000102401</t>
  </si>
  <si>
    <t>5KS254KWV209  WV314</t>
  </si>
  <si>
    <t>LBA000082000</t>
  </si>
  <si>
    <t>5KS256BWV205  WV016</t>
  </si>
  <si>
    <t>LBA000082100</t>
  </si>
  <si>
    <t>5KS256KWV205  WV116</t>
  </si>
  <si>
    <t>LBA000101100</t>
  </si>
  <si>
    <t>5KS256KWV203  WV216</t>
  </si>
  <si>
    <t>LBA000101101</t>
  </si>
  <si>
    <t>5KS256KWV209  WV316</t>
  </si>
  <si>
    <t>LBA000084000</t>
  </si>
  <si>
    <t>5KS284BWV205  WV018</t>
  </si>
  <si>
    <t>LBA000084100</t>
  </si>
  <si>
    <t>5KS284KWV205  WV118</t>
  </si>
  <si>
    <t>LBA000102600</t>
  </si>
  <si>
    <t>5KS284KWV203  WV218</t>
  </si>
  <si>
    <t>LBA000103100</t>
  </si>
  <si>
    <t>5KS284KWV209  WV318</t>
  </si>
  <si>
    <t>LBA000084200</t>
  </si>
  <si>
    <t>5KS286BWV205  WV020</t>
  </si>
  <si>
    <t>LBA000084300</t>
  </si>
  <si>
    <t>5KS286KWV205  WV120</t>
  </si>
  <si>
    <t>LBA000102800</t>
  </si>
  <si>
    <t>5KS286KWV203  WV220</t>
  </si>
  <si>
    <t>LBA000103300</t>
  </si>
  <si>
    <t>5KS286KWV209  WV320</t>
  </si>
  <si>
    <t>LBA000090000</t>
  </si>
  <si>
    <t>5KS182KWV305  WV649</t>
  </si>
  <si>
    <t>LBA000090100</t>
  </si>
  <si>
    <t>5KS215BWV305  WV771</t>
  </si>
  <si>
    <t>LBC000067400</t>
  </si>
  <si>
    <t>5KS143BWC120  WV659</t>
  </si>
  <si>
    <t>LBC000067500</t>
  </si>
  <si>
    <t>5KS143BWC105  WV658</t>
  </si>
  <si>
    <t>LBC000067600</t>
  </si>
  <si>
    <t>5KS145BWC105  WV661</t>
  </si>
  <si>
    <t>LBC000067700</t>
  </si>
  <si>
    <t>5KS182BWC105  WV665</t>
  </si>
  <si>
    <t>LBC000067800</t>
  </si>
  <si>
    <t>5KS184BWC105  WV669</t>
  </si>
  <si>
    <t>LBC000067900</t>
  </si>
  <si>
    <t>5KS213BWC105  WV677</t>
  </si>
  <si>
    <t>LBC000054300</t>
  </si>
  <si>
    <t>5KS215BWC105  WV681</t>
  </si>
  <si>
    <t>LBC000078300</t>
  </si>
  <si>
    <t>5KS215KWC120</t>
  </si>
  <si>
    <t>LBC000068000</t>
  </si>
  <si>
    <t>5KS254BWC105  WV687</t>
  </si>
  <si>
    <t>LBC000078400</t>
  </si>
  <si>
    <t>5KS254KWC120</t>
  </si>
  <si>
    <t>LBC000068100</t>
  </si>
  <si>
    <t>5KS256BWC105  WV693</t>
  </si>
  <si>
    <t>LBC000054700</t>
  </si>
  <si>
    <t>5KS256KWC105  WV604</t>
  </si>
  <si>
    <t>LBC000068200</t>
  </si>
  <si>
    <t>5KS284BWC115  WV697</t>
  </si>
  <si>
    <t>LBC000068300</t>
  </si>
  <si>
    <t>5KS286BWC115  WV701</t>
  </si>
  <si>
    <t>LBC000052100</t>
  </si>
  <si>
    <t>5KS324BWC115  WV705</t>
  </si>
  <si>
    <t>LBC000066800</t>
  </si>
  <si>
    <t>5KS324KWC115  WV616</t>
  </si>
  <si>
    <t>LBC000072800</t>
  </si>
  <si>
    <t>5KS324KWC113  WV221</t>
  </si>
  <si>
    <t>LBC000072801</t>
  </si>
  <si>
    <t>5KS324KWC119  WV321</t>
  </si>
  <si>
    <t>LBC000052300</t>
  </si>
  <si>
    <t>5KS326BWC115  WV709</t>
  </si>
  <si>
    <t>LBC000066900</t>
  </si>
  <si>
    <t>5KS326KWC115  WV620</t>
  </si>
  <si>
    <t>LBC000073000</t>
  </si>
  <si>
    <t>5KS326KWC113  WV223</t>
  </si>
  <si>
    <t>LBC000073001</t>
  </si>
  <si>
    <t>5KS326KWC119  WV323</t>
  </si>
  <si>
    <t>LBC000052500</t>
  </si>
  <si>
    <t>5KS364BWC115  WV713</t>
  </si>
  <si>
    <t>LBC000067000</t>
  </si>
  <si>
    <t>5KS364KWC115  WV624</t>
  </si>
  <si>
    <t>LBC000073200</t>
  </si>
  <si>
    <t>5KS364KWC113  WV225</t>
  </si>
  <si>
    <t>LBC000073201</t>
  </si>
  <si>
    <t>5KS364KWC119  WV325</t>
  </si>
  <si>
    <t>LBC000068400</t>
  </si>
  <si>
    <t>5KS365BWC115  WV717</t>
  </si>
  <si>
    <t>LBC000073400</t>
  </si>
  <si>
    <t>5KS365KWC113  WV227</t>
  </si>
  <si>
    <t>LBC000073401</t>
  </si>
  <si>
    <t>5KS365KWC119  WV327</t>
  </si>
  <si>
    <t>LBC000068500</t>
  </si>
  <si>
    <t>5KS405BWC115  WV723</t>
  </si>
  <si>
    <t>LBC000068700</t>
  </si>
  <si>
    <t>5KS444BWC118  WV727</t>
  </si>
  <si>
    <t>460V</t>
  </si>
  <si>
    <t>LBC000068800</t>
  </si>
  <si>
    <t>5KS445BWC118  WV731</t>
  </si>
  <si>
    <t>LBC000068600</t>
  </si>
  <si>
    <t>5KS447BWC118  WV739</t>
  </si>
  <si>
    <t>LBC000054001</t>
  </si>
  <si>
    <t>5KS143BWC205  WV660</t>
  </si>
  <si>
    <t>LBC000054000</t>
  </si>
  <si>
    <t>5KS143KWC205  WV580</t>
  </si>
  <si>
    <t>LBC000077700</t>
  </si>
  <si>
    <t>5KS145BWC205  WV662</t>
  </si>
  <si>
    <t>LBC000071500</t>
  </si>
  <si>
    <t>5KS145BWC220  WV663</t>
  </si>
  <si>
    <t>LBC000078000</t>
  </si>
  <si>
    <t>5KS145KWC220</t>
  </si>
  <si>
    <t>LBC000078100</t>
  </si>
  <si>
    <t>5KS145KWC221</t>
  </si>
  <si>
    <t>LBC000068900</t>
  </si>
  <si>
    <t>5KS182BWC205  WV666</t>
  </si>
  <si>
    <t>LBC000069000</t>
  </si>
  <si>
    <t>5KS182KWC205  WV585</t>
  </si>
  <si>
    <t>LBC000069100</t>
  </si>
  <si>
    <t>5KS184BWC205  WV672</t>
  </si>
  <si>
    <t>LBC000069200</t>
  </si>
  <si>
    <t>5KS184KWC205  WV589</t>
  </si>
  <si>
    <t>LBC000054100</t>
  </si>
  <si>
    <t>5KS213BWC205  WV678</t>
  </si>
  <si>
    <t>LBC000054200</t>
  </si>
  <si>
    <t>5KS213KWC205  WV593</t>
  </si>
  <si>
    <t>LBC000078200</t>
  </si>
  <si>
    <t>5KS213KWC223</t>
  </si>
  <si>
    <t>LBC000055100</t>
  </si>
  <si>
    <t>5KS215BWC205  WV682</t>
  </si>
  <si>
    <t>LBC000069700</t>
  </si>
  <si>
    <t>5KS215KWC205  WV597</t>
  </si>
  <si>
    <t>LBC000054400</t>
  </si>
  <si>
    <t>5KS254BWC205  WV688</t>
  </si>
  <si>
    <t>LBC000054500</t>
  </si>
  <si>
    <t>5KS254KWC205  WV601</t>
  </si>
  <si>
    <t>LBC000069800</t>
  </si>
  <si>
    <t>5KS256BWC205  WV694</t>
  </si>
  <si>
    <t>LBC000054600</t>
  </si>
  <si>
    <t>5KS256KWC205  WV605</t>
  </si>
  <si>
    <t>LBC000054800</t>
  </si>
  <si>
    <t>5KS284BWC205  WV698</t>
  </si>
  <si>
    <t>LBC000069900</t>
  </si>
  <si>
    <t>5KS284KWC205  WV609</t>
  </si>
  <si>
    <t>LBC000071000</t>
  </si>
  <si>
    <t>5KS286BWC205  WV702</t>
  </si>
  <si>
    <t>LBC000071100</t>
  </si>
  <si>
    <t>5KS286KWC205  WV613</t>
  </si>
  <si>
    <t>LBC000052200</t>
  </si>
  <si>
    <t>5KS324BWC205  WV706</t>
  </si>
  <si>
    <t>LBC000066600</t>
  </si>
  <si>
    <t>5KS324KWC205  WV617</t>
  </si>
  <si>
    <t>LBC000072900</t>
  </si>
  <si>
    <t>5KS324KWC203  WV222</t>
  </si>
  <si>
    <t>LBC000072901</t>
  </si>
  <si>
    <t>5KS324KWC209  WV322</t>
  </si>
  <si>
    <t>LBC000052400</t>
  </si>
  <si>
    <t>5KS326BWC205  WV710</t>
  </si>
  <si>
    <t>LBC000066700</t>
  </si>
  <si>
    <t>5KS326KWC205  WV621</t>
  </si>
  <si>
    <t>LBC000073100</t>
  </si>
  <si>
    <t>5KS326KWC203  WV224</t>
  </si>
  <si>
    <t>LBC000073101</t>
  </si>
  <si>
    <t>5KS326KWC209  WV324</t>
  </si>
  <si>
    <t>LBC000052600</t>
  </si>
  <si>
    <t>5KS364BWC205  WV714</t>
  </si>
  <si>
    <t>LBC000067100</t>
  </si>
  <si>
    <t>5KS364KWC205  WV625</t>
  </si>
  <si>
    <t>LBC000073300</t>
  </si>
  <si>
    <t>5KS364KWC203  WV226</t>
  </si>
  <si>
    <t>LBC000073301</t>
  </si>
  <si>
    <t>5KS364KWC209  WV326</t>
  </si>
  <si>
    <t>LBC000070000</t>
  </si>
  <si>
    <t>5KS365BWC205  WV718</t>
  </si>
  <si>
    <t>LBC000070100</t>
  </si>
  <si>
    <t>5KS365KWC205  WV629</t>
  </si>
  <si>
    <t>LBC000073500</t>
  </si>
  <si>
    <t>5KS365KWC203  WV228</t>
  </si>
  <si>
    <t>LBC000073501</t>
  </si>
  <si>
    <t>5KS365KWC209  WV328</t>
  </si>
  <si>
    <t>LBC000070200</t>
  </si>
  <si>
    <t>5KS405BWC205  WV724</t>
  </si>
  <si>
    <t>LBC000070300</t>
  </si>
  <si>
    <t>5KS405KWC205  WV635</t>
  </si>
  <si>
    <t>LBC000070400</t>
  </si>
  <si>
    <t>5KS444BWC208  WV728</t>
  </si>
  <si>
    <t>LBC000070500</t>
  </si>
  <si>
    <t>5KS444KWC208  WV639</t>
  </si>
  <si>
    <t>LBC000070600</t>
  </si>
  <si>
    <t>5KS445BWC208  WV734</t>
  </si>
  <si>
    <t>LBC000070700</t>
  </si>
  <si>
    <t>5KS445KWC208  WV643</t>
  </si>
  <si>
    <t>LBC000070800</t>
  </si>
  <si>
    <t>5KS447BWC208  WV740</t>
  </si>
  <si>
    <t>LBC000070900</t>
  </si>
  <si>
    <t>5KS447KWC208  WV647</t>
  </si>
  <si>
    <t>LBC000076700</t>
  </si>
  <si>
    <t>5KS324BWC305</t>
  </si>
  <si>
    <t>LBC000078500</t>
  </si>
  <si>
    <t>5KS324KWC320</t>
  </si>
  <si>
    <t>NEH系列料号GEIM编码对照表</t>
  </si>
  <si>
    <t>备注</t>
  </si>
  <si>
    <t>LNEH00002400</t>
  </si>
  <si>
    <t>5KR213ZWL308</t>
  </si>
  <si>
    <t>自制</t>
  </si>
  <si>
    <t>LNEH00002300</t>
  </si>
  <si>
    <t>5KR215ZWL308</t>
  </si>
  <si>
    <t>LNEH00002500</t>
  </si>
  <si>
    <t>5KR254ZWL308</t>
  </si>
  <si>
    <t>LNEH00002700</t>
  </si>
  <si>
    <t>5KR256ZWL308</t>
  </si>
  <si>
    <t>LNEH00002800</t>
  </si>
  <si>
    <t>5KR284ZWL308</t>
  </si>
  <si>
    <t>LNEH00002600</t>
  </si>
  <si>
    <t>5KR286ZWL308</t>
  </si>
  <si>
    <t>LNEH00003000</t>
  </si>
  <si>
    <t>5KR324ZWL308</t>
  </si>
  <si>
    <t>LNEH00002900</t>
  </si>
  <si>
    <t>5KR326ZWL308</t>
  </si>
  <si>
    <t>LNEH00003100</t>
  </si>
  <si>
    <t>5KR365ZWL308</t>
  </si>
  <si>
    <t>LNEH00003400</t>
  </si>
  <si>
    <t>5KR404ZWL308</t>
  </si>
  <si>
    <t>LNEH00003500</t>
  </si>
  <si>
    <t>5KR405ZWL308</t>
  </si>
  <si>
    <t>LNEH00003600</t>
  </si>
  <si>
    <t>5KR444ZWL308</t>
  </si>
  <si>
    <t>LNEH00003700</t>
  </si>
  <si>
    <t>5KR445ZWL308</t>
  </si>
  <si>
    <t>LNEH00003800</t>
  </si>
  <si>
    <t>5KR447ZWL308</t>
  </si>
  <si>
    <t>LNEH00003900</t>
  </si>
  <si>
    <t>5KR449ZWL308</t>
  </si>
  <si>
    <t>LNEH00000100</t>
  </si>
  <si>
    <t>采购半成品</t>
  </si>
  <si>
    <t>LNEH00000200</t>
  </si>
  <si>
    <t>LNEH00000300</t>
  </si>
  <si>
    <t>LNEH00000400</t>
  </si>
  <si>
    <t>LNEH00000500</t>
  </si>
  <si>
    <t>LNEH00000600</t>
  </si>
  <si>
    <t>LNEH00000700</t>
  </si>
  <si>
    <t>LNEH00000800</t>
  </si>
  <si>
    <t>LNEH00000900</t>
  </si>
  <si>
    <t>LNEH00001000</t>
  </si>
  <si>
    <t>LNEH00001100</t>
  </si>
  <si>
    <t>LNEH00001200</t>
  </si>
  <si>
    <t>LNEH00001300</t>
  </si>
  <si>
    <t>LNEH00001400</t>
  </si>
  <si>
    <t>LNEH00001500</t>
  </si>
  <si>
    <t>NEXP系列料号GEIM编码对照表</t>
  </si>
  <si>
    <t>LNEXP0007500</t>
  </si>
  <si>
    <t>5KS184RWL105</t>
  </si>
  <si>
    <t>LNEXP0007600</t>
  </si>
  <si>
    <t>5KS184RWL205</t>
  </si>
  <si>
    <t>LNEXP0007700</t>
  </si>
  <si>
    <t>5KS213RWL105</t>
  </si>
  <si>
    <t>LNEXP0007800</t>
  </si>
  <si>
    <t>5KS213RWL205</t>
  </si>
  <si>
    <t>LNEXP0007900</t>
  </si>
  <si>
    <t>5KS215RWL105</t>
  </si>
  <si>
    <t>LNEXP0008000</t>
  </si>
  <si>
    <t>5KS215RWL205</t>
  </si>
  <si>
    <t>LNEXP0008100</t>
  </si>
  <si>
    <t>5KS254RWL105</t>
  </si>
  <si>
    <t>LNEXP0008200</t>
  </si>
  <si>
    <t>5KS256RWL105</t>
  </si>
  <si>
    <t>LNEXP0008300</t>
  </si>
  <si>
    <t>5KS256RWL205</t>
  </si>
  <si>
    <t>LNEXP0008400</t>
  </si>
  <si>
    <t>5KS284RWL115</t>
  </si>
  <si>
    <t>LNEXP0008500</t>
  </si>
  <si>
    <t>5KS284RWL205</t>
  </si>
  <si>
    <t>LNEXP0008600</t>
  </si>
  <si>
    <t>5KS286RWL115</t>
  </si>
  <si>
    <t>LNEXP0008700</t>
  </si>
  <si>
    <t>5KS286RWL205</t>
  </si>
  <si>
    <t>LNEXP0008800</t>
  </si>
  <si>
    <t>5KS254RWL205</t>
  </si>
  <si>
    <t>LNEXP0009200</t>
  </si>
  <si>
    <t>5KS324CWL205</t>
  </si>
  <si>
    <t>LNEXP0010900</t>
  </si>
  <si>
    <t>5KS365CWL205</t>
  </si>
  <si>
    <t>LNEXP0011400</t>
  </si>
  <si>
    <t>5KS364CWL205</t>
  </si>
  <si>
    <t>LNEXP0009500</t>
  </si>
  <si>
    <t>5KS286CWL115</t>
  </si>
  <si>
    <t>LNEXP0009600</t>
  </si>
  <si>
    <t>5KS405CWL205</t>
  </si>
  <si>
    <t>LNEXP0011100</t>
  </si>
  <si>
    <t>5KS213CWL105</t>
  </si>
  <si>
    <t>LNEXP0009800</t>
  </si>
  <si>
    <t>5KS326CWL115</t>
  </si>
  <si>
    <t>LNEXP0009900</t>
  </si>
  <si>
    <t>5KS445CWL118</t>
  </si>
  <si>
    <t>LNEXP0010000</t>
  </si>
  <si>
    <t>5KS444CWL208</t>
  </si>
  <si>
    <t>LNEXP0010100</t>
  </si>
  <si>
    <t>5KS326CWL205</t>
  </si>
  <si>
    <t>LNEXP0011200</t>
  </si>
  <si>
    <t>5KS256CWL205</t>
  </si>
  <si>
    <t>LNEXP0010300</t>
  </si>
  <si>
    <t>5KS286CWL205</t>
  </si>
  <si>
    <t>LNEXP0010400</t>
  </si>
  <si>
    <t>5KS445CWL208</t>
  </si>
  <si>
    <t>LNEXP0010500</t>
  </si>
  <si>
    <t>5KS324CWL305</t>
  </si>
  <si>
    <t>LNEXP0011300</t>
  </si>
  <si>
    <t>5KS364CWL115</t>
  </si>
  <si>
    <t>LNEXP0012300</t>
  </si>
  <si>
    <t>5KS215CWL105</t>
  </si>
  <si>
    <t>LNEXP0012400</t>
  </si>
  <si>
    <t>5KS405CWL115</t>
  </si>
  <si>
    <t>LNEXP0012500</t>
  </si>
  <si>
    <t>5KS449CWL208</t>
  </si>
  <si>
    <t>LNEXP0012600</t>
  </si>
  <si>
    <t>5KS324RWL115</t>
  </si>
  <si>
    <t>LNEXP0012700</t>
  </si>
  <si>
    <t>5KS324RWL205</t>
  </si>
  <si>
    <t>LNEXP0012800</t>
  </si>
  <si>
    <t>5KS326RWL115</t>
  </si>
  <si>
    <t>LNEXP0012900</t>
  </si>
  <si>
    <t>5KS326RWL205</t>
  </si>
  <si>
    <t>LNEXP0013000</t>
  </si>
  <si>
    <t>5KS364RWL115</t>
  </si>
  <si>
    <t>LNEXP0013100</t>
  </si>
  <si>
    <t>5KS364RWL205</t>
  </si>
  <si>
    <t>LNEXP0013200</t>
  </si>
  <si>
    <t>5KS365RWL115</t>
  </si>
  <si>
    <t>LNEXP0013300</t>
  </si>
  <si>
    <t>5KS365RWL205</t>
  </si>
  <si>
    <t>LNEXP0013400</t>
  </si>
  <si>
    <t>5KS284CWL115</t>
  </si>
  <si>
    <t>LNEXP0013500</t>
  </si>
  <si>
    <t>5KS284CWL205</t>
  </si>
  <si>
    <t>LNEXP0013600</t>
  </si>
  <si>
    <t>5KS365CWL115</t>
  </si>
  <si>
    <t>PO编号</t>
  </si>
  <si>
    <t>行号</t>
  </si>
  <si>
    <t>物料编号</t>
  </si>
  <si>
    <t>物料描述</t>
  </si>
  <si>
    <t>需求日期</t>
  </si>
  <si>
    <t>采购数量</t>
  </si>
  <si>
    <t>单位</t>
  </si>
  <si>
    <t>单价(USD)</t>
  </si>
  <si>
    <t>行金额(USD)</t>
  </si>
  <si>
    <t>税率状态</t>
  </si>
  <si>
    <t>4500231697</t>
  </si>
  <si>
    <t>00010</t>
  </si>
  <si>
    <t>5KS145BWV205</t>
  </si>
  <si>
    <t>SMALL AC MOTOR</t>
  </si>
  <si>
    <t>07/18/2026</t>
  </si>
  <si>
    <t>PC</t>
  </si>
  <si>
    <t>免税</t>
  </si>
  <si>
    <t>00020</t>
  </si>
  <si>
    <t>5KS215BWC105</t>
  </si>
  <si>
    <t>00030</t>
  </si>
  <si>
    <t>5KS215BWV205</t>
  </si>
  <si>
    <t>WPN-DA215TSQ-4 10HP,P,215,230/460V,TEFC</t>
  </si>
  <si>
    <t>00040</t>
  </si>
  <si>
    <t>5KS184BWC205</t>
  </si>
  <si>
    <t>00050</t>
  </si>
  <si>
    <t>5KS213BWC105</t>
  </si>
  <si>
    <t>00060</t>
  </si>
  <si>
    <t>5KS256BWC205</t>
  </si>
  <si>
    <t>00070</t>
  </si>
  <si>
    <t>00080</t>
  </si>
  <si>
    <t>00090</t>
  </si>
  <si>
    <t>5KS324BWC205</t>
  </si>
  <si>
    <t>00100</t>
  </si>
  <si>
    <t>5KS215BWC205</t>
  </si>
  <si>
    <t>00110</t>
  </si>
  <si>
    <t>00120</t>
  </si>
  <si>
    <t>5KS256BWC105</t>
  </si>
  <si>
    <t>00130</t>
  </si>
  <si>
    <t>5KS284BWC205</t>
  </si>
  <si>
    <t>00140</t>
  </si>
  <si>
    <t>5KS286BWC205</t>
  </si>
  <si>
    <t>00150</t>
  </si>
  <si>
    <t>00160</t>
  </si>
  <si>
    <t>00170</t>
  </si>
  <si>
    <t>00180</t>
  </si>
  <si>
    <t>5KS184BWC105</t>
  </si>
  <si>
    <t>00190</t>
  </si>
  <si>
    <t>5KS213BWC205</t>
  </si>
  <si>
    <t>00200</t>
  </si>
  <si>
    <t>00210</t>
  </si>
  <si>
    <t>00220</t>
  </si>
  <si>
    <t>00230</t>
  </si>
  <si>
    <t>4500231689</t>
  </si>
  <si>
    <t>SMALL AC MOTOR NEMA D GP</t>
  </si>
  <si>
    <t>08/31/2026</t>
  </si>
  <si>
    <t>09/08/2026</t>
  </si>
  <si>
    <t>4500231699</t>
  </si>
  <si>
    <t>5KS254KWV105</t>
  </si>
  <si>
    <t>5KS145KWV205</t>
  </si>
  <si>
    <t>5KS182KWC205</t>
  </si>
  <si>
    <t>5KS213KWV205</t>
  </si>
  <si>
    <t>07/31/2026</t>
  </si>
  <si>
    <t>5KS182KWV205</t>
  </si>
  <si>
    <t>5KS215KWC205</t>
  </si>
  <si>
    <t>5KS284KWC205</t>
  </si>
  <si>
    <t>5KS184KWC205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</si>
</sst>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rgb="FFFFFFFF"/>
      <name val="Arial"/>
      <charset val="134"/>
    </font>
    <font>
      <sz val="11"/>
      <color rgb="FF000000"/>
      <name val="Calibri"/>
      <charset val="134"/>
    </font>
    <font>
      <sz val="9"/>
      <name val="微软雅黑"/>
      <charset val="134"/>
    </font>
    <font>
      <sz val="9"/>
      <color theme="1"/>
      <name val="微软雅黑"/>
      <charset val="134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EBF1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7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38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right" vertical="center"/>
    </xf>
    <xf numFmtId="4" fontId="2" fillId="3" borderId="1" xfId="0" applyNumberFormat="1" applyFont="1" applyFill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Fill="1">
      <alignment vertical="center"/>
    </xf>
    <xf numFmtId="0" fontId="3" fillId="0" borderId="0" xfId="0" applyFont="1" applyFill="1" applyAlignment="1">
      <alignment vertical="center"/>
    </xf>
    <xf numFmtId="0" fontId="3" fillId="0" borderId="0" xfId="0" applyFont="1" applyFill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>
      <alignment vertical="center"/>
    </xf>
    <xf numFmtId="0" fontId="3" fillId="0" borderId="2" xfId="0" applyFont="1" applyBorder="1" applyAlignment="1">
      <alignment vertical="center"/>
    </xf>
    <xf numFmtId="0" fontId="3" fillId="0" borderId="2" xfId="0" applyFont="1" applyFill="1" applyBorder="1">
      <alignment vertical="center"/>
    </xf>
    <xf numFmtId="0" fontId="3" fillId="0" borderId="2" xfId="0" applyFont="1" applyFill="1" applyBorder="1" applyAlignment="1">
      <alignment horizontal="left" vertical="top"/>
    </xf>
    <xf numFmtId="0" fontId="4" fillId="0" borderId="0" xfId="0" applyFont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0" fillId="0" borderId="0" xfId="0" applyFill="1">
      <alignment vertical="center"/>
    </xf>
    <xf numFmtId="0" fontId="5" fillId="0" borderId="0" xfId="0" applyFont="1" applyFill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0" fontId="3" fillId="0" borderId="2" xfId="0" applyNumberFormat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 readingOrder="1"/>
    </xf>
    <xf numFmtId="0" fontId="2" fillId="0" borderId="1" xfId="0" applyFont="1" applyBorder="1" applyAlignment="1" quotePrefix="1">
      <alignment horizontal="center" vertical="center"/>
    </xf>
    <xf numFmtId="0" fontId="2" fillId="3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36234;&#21335;&#24037;&#21378;&#30340;&#24037;&#20316;\9-&#20135;&#21697;&#36716;&#20135;&#24037;&#20316;\&#23567;&#22411;\NEH&#30005;&#26426;\NEH&#31995;&#21015;&#30005;&#26426;&#22411;&#21495;&#23545;&#29031;&#34920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1">
          <cell r="J1" t="str">
            <v>采购半成品</v>
          </cell>
          <cell r="K1" t="str">
            <v>备库电机</v>
          </cell>
        </row>
        <row r="2">
          <cell r="J2" t="str">
            <v>料号</v>
          </cell>
        </row>
        <row r="3">
          <cell r="J3" t="str">
            <v>LNEH00000100</v>
          </cell>
          <cell r="K3" t="str">
            <v>5KR213ZWL308</v>
          </cell>
        </row>
        <row r="4">
          <cell r="K4" t="str">
            <v>5KR215ZWL408</v>
          </cell>
        </row>
        <row r="5">
          <cell r="J5" t="str">
            <v>LNEH00000200</v>
          </cell>
          <cell r="K5" t="str">
            <v>5KR215ZWL308</v>
          </cell>
        </row>
        <row r="6">
          <cell r="K6" t="str">
            <v>5KR254ZWL408</v>
          </cell>
        </row>
        <row r="7">
          <cell r="J7" t="str">
            <v>LNEH00000300</v>
          </cell>
          <cell r="K7" t="str">
            <v>5KR254ZWL308</v>
          </cell>
        </row>
        <row r="8">
          <cell r="K8" t="str">
            <v>5KR256ZWL408</v>
          </cell>
        </row>
        <row r="9">
          <cell r="J9" t="str">
            <v>LNEH00000400</v>
          </cell>
          <cell r="K9" t="str">
            <v>5KR256ZWL308</v>
          </cell>
        </row>
        <row r="10">
          <cell r="K10" t="str">
            <v>5KR284ZWL408</v>
          </cell>
        </row>
        <row r="11">
          <cell r="J11" t="str">
            <v>LNEH00000500</v>
          </cell>
          <cell r="K11" t="str">
            <v>5KR284ZWL308</v>
          </cell>
        </row>
        <row r="12">
          <cell r="K12" t="str">
            <v>5KR286ZWL408</v>
          </cell>
        </row>
        <row r="13">
          <cell r="J13" t="str">
            <v>LNEH00000600</v>
          </cell>
          <cell r="K13" t="str">
            <v>5KR286ZWL308</v>
          </cell>
        </row>
        <row r="14">
          <cell r="K14" t="str">
            <v>5KR324ZWL408</v>
          </cell>
        </row>
        <row r="15">
          <cell r="J15" t="str">
            <v>LNEH00000700</v>
          </cell>
          <cell r="K15" t="str">
            <v>5KR324ZWL308</v>
          </cell>
        </row>
        <row r="16">
          <cell r="K16" t="str">
            <v>5KR326ZWL408</v>
          </cell>
        </row>
        <row r="17">
          <cell r="J17" t="str">
            <v>LNEH00000800</v>
          </cell>
          <cell r="K17" t="str">
            <v>5KR326ZWL308</v>
          </cell>
        </row>
        <row r="18">
          <cell r="K18" t="str">
            <v>5KR365ZWL408</v>
          </cell>
        </row>
        <row r="19">
          <cell r="J19" t="str">
            <v>LNEH00000900</v>
          </cell>
          <cell r="K19" t="str">
            <v>5KR365ZWL308</v>
          </cell>
        </row>
        <row r="20">
          <cell r="K20" t="str">
            <v>5KR404ZWL408</v>
          </cell>
        </row>
        <row r="21">
          <cell r="J21" t="str">
            <v>LNEH00001000</v>
          </cell>
          <cell r="K21" t="str">
            <v>5KR404ZWL308</v>
          </cell>
        </row>
        <row r="22">
          <cell r="K22" t="str">
            <v>5KR405ZWL408</v>
          </cell>
        </row>
        <row r="23">
          <cell r="J23" t="str">
            <v>LNEH00001100</v>
          </cell>
          <cell r="K23" t="str">
            <v>5KR405ZWL308</v>
          </cell>
        </row>
        <row r="24">
          <cell r="K24" t="str">
            <v>5KR444ZWL408</v>
          </cell>
        </row>
        <row r="25">
          <cell r="J25" t="str">
            <v>LNEH00001200</v>
          </cell>
          <cell r="K25" t="str">
            <v>5KR444ZWL308</v>
          </cell>
        </row>
        <row r="26">
          <cell r="K26" t="str">
            <v>5KR445ZWL408</v>
          </cell>
        </row>
        <row r="27">
          <cell r="J27" t="str">
            <v>LNEH00001300</v>
          </cell>
          <cell r="K27" t="str">
            <v>5KR445ZWL308</v>
          </cell>
        </row>
        <row r="28">
          <cell r="K28" t="str">
            <v>5KR447ZWL408</v>
          </cell>
        </row>
        <row r="29">
          <cell r="J29" t="str">
            <v>LNEH00001400</v>
          </cell>
          <cell r="K29" t="str">
            <v>5KR447ZWL308</v>
          </cell>
        </row>
        <row r="30">
          <cell r="K30" t="str">
            <v>5KR449ZWL408</v>
          </cell>
        </row>
        <row r="31">
          <cell r="J31" t="str">
            <v>LNEH00001500</v>
          </cell>
          <cell r="K31" t="str">
            <v>5KR449ZWL308</v>
          </cell>
        </row>
        <row r="32">
          <cell r="K32" t="str">
            <v>5KR449ZWL321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plm.wolong.com/Windchill/ap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7"/>
  <sheetViews>
    <sheetView topLeftCell="A123" workbookViewId="0">
      <selection activeCell="F3" sqref="F3:F177"/>
    </sheetView>
  </sheetViews>
  <sheetFormatPr defaultColWidth="9" defaultRowHeight="13.5" outlineLevelCol="7"/>
  <cols>
    <col min="1" max="1" width="5" style="29" customWidth="1"/>
    <col min="2" max="2" width="16.1083333333333" style="30" customWidth="1"/>
    <col min="3" max="3" width="28.775" style="29" customWidth="1"/>
    <col min="4" max="4" width="7.225" style="29" customWidth="1"/>
    <col min="5" max="5" width="10.3333333333333" style="29" customWidth="1"/>
    <col min="6" max="6" width="14.625" style="30" customWidth="1"/>
    <col min="7" max="7" width="22" style="30" customWidth="1"/>
    <col min="8" max="16384" width="9" style="30"/>
  </cols>
  <sheetData>
    <row r="1" ht="14.25" spans="1:8">
      <c r="A1" s="15"/>
      <c r="B1" s="13"/>
      <c r="C1" s="15" t="s">
        <v>0</v>
      </c>
      <c r="D1" s="15"/>
      <c r="E1" s="15"/>
    </row>
    <row r="2" s="29" customFormat="1" ht="28.5" spans="1:8">
      <c r="A2" s="32" t="s">
        <v>1</v>
      </c>
      <c r="B2" s="32" t="s">
        <v>2</v>
      </c>
      <c r="C2" s="32" t="s">
        <v>3</v>
      </c>
      <c r="D2" s="33" t="s">
        <v>4</v>
      </c>
      <c r="E2" s="33" t="s">
        <v>5</v>
      </c>
    </row>
    <row r="3" ht="14.25" spans="1:8">
      <c r="A3" s="32">
        <v>1</v>
      </c>
      <c r="B3" s="34" t="s">
        <v>6</v>
      </c>
      <c r="C3" s="32" t="s">
        <v>7</v>
      </c>
      <c r="D3" s="32">
        <v>1</v>
      </c>
      <c r="E3" s="32" t="s">
        <v>8</v>
      </c>
      <c r="F3" s="30" t="str">
        <f>LEFT(C3,12)</f>
        <v>5KS143BWV120</v>
      </c>
    </row>
    <row r="4" ht="14.25" spans="1:8">
      <c r="A4" s="32">
        <v>2</v>
      </c>
      <c r="B4" s="34" t="s">
        <v>9</v>
      </c>
      <c r="C4" s="32" t="s">
        <v>10</v>
      </c>
      <c r="D4" s="32">
        <v>1</v>
      </c>
      <c r="E4" s="32" t="s">
        <v>8</v>
      </c>
      <c r="F4" s="30" t="str">
        <f t="shared" ref="F4:F35" si="0">LEFT(C4,12)</f>
        <v>5KS143KWV101</v>
      </c>
    </row>
    <row r="5" ht="14.25" spans="1:8">
      <c r="A5" s="32">
        <v>3</v>
      </c>
      <c r="B5" s="34" t="s">
        <v>11</v>
      </c>
      <c r="C5" s="32" t="s">
        <v>12</v>
      </c>
      <c r="D5" s="32">
        <v>1</v>
      </c>
      <c r="E5" s="32" t="s">
        <v>8</v>
      </c>
      <c r="F5" s="30" t="str">
        <f t="shared" si="0"/>
        <v>5KS143KWV110</v>
      </c>
    </row>
    <row r="6" ht="14.25" spans="1:8">
      <c r="A6" s="32">
        <v>4</v>
      </c>
      <c r="B6" s="34" t="s">
        <v>13</v>
      </c>
      <c r="C6" s="32" t="s">
        <v>14</v>
      </c>
      <c r="D6" s="32">
        <v>1</v>
      </c>
      <c r="E6" s="32" t="s">
        <v>8</v>
      </c>
      <c r="F6" s="30" t="str">
        <f t="shared" si="0"/>
        <v>5KS143KWV111</v>
      </c>
      <c r="H6" s="35"/>
    </row>
    <row r="7" ht="14.25" spans="1:8">
      <c r="A7" s="32">
        <v>5</v>
      </c>
      <c r="B7" s="34" t="s">
        <v>15</v>
      </c>
      <c r="C7" s="32" t="s">
        <v>16</v>
      </c>
      <c r="D7" s="32">
        <v>1.5</v>
      </c>
      <c r="E7" s="32" t="s">
        <v>8</v>
      </c>
      <c r="F7" s="30" t="str">
        <f t="shared" si="0"/>
        <v>5KS143BWV105</v>
      </c>
      <c r="H7" s="35"/>
    </row>
    <row r="8" ht="14.25" spans="1:8">
      <c r="A8" s="32">
        <v>6</v>
      </c>
      <c r="B8" s="34" t="s">
        <v>17</v>
      </c>
      <c r="C8" s="32" t="s">
        <v>18</v>
      </c>
      <c r="D8" s="32">
        <v>1.5</v>
      </c>
      <c r="E8" s="32" t="s">
        <v>8</v>
      </c>
      <c r="F8" s="30" t="str">
        <f t="shared" si="0"/>
        <v>5KS143KWV105</v>
      </c>
      <c r="H8" s="35"/>
    </row>
    <row r="9" ht="14.25" spans="1:8">
      <c r="A9" s="32">
        <v>7</v>
      </c>
      <c r="B9" s="34" t="s">
        <v>19</v>
      </c>
      <c r="C9" s="32" t="s">
        <v>20</v>
      </c>
      <c r="D9" s="32">
        <v>1.5</v>
      </c>
      <c r="E9" s="32" t="s">
        <v>8</v>
      </c>
      <c r="F9" s="30" t="str">
        <f t="shared" si="0"/>
        <v>5KS143KWV103</v>
      </c>
      <c r="H9" s="35"/>
    </row>
    <row r="10" ht="14.25" spans="1:8">
      <c r="A10" s="32">
        <v>8</v>
      </c>
      <c r="B10" s="34" t="s">
        <v>21</v>
      </c>
      <c r="C10" s="32" t="s">
        <v>22</v>
      </c>
      <c r="D10" s="32">
        <v>1.5</v>
      </c>
      <c r="E10" s="32" t="s">
        <v>8</v>
      </c>
      <c r="F10" s="30" t="str">
        <f t="shared" si="0"/>
        <v>5KS143KWV109</v>
      </c>
      <c r="H10" s="35"/>
    </row>
    <row r="11" ht="14.25" spans="1:8">
      <c r="A11" s="32">
        <v>9</v>
      </c>
      <c r="B11" s="34" t="s">
        <v>23</v>
      </c>
      <c r="C11" s="32" t="s">
        <v>24</v>
      </c>
      <c r="D11" s="32">
        <v>2</v>
      </c>
      <c r="E11" s="32" t="s">
        <v>8</v>
      </c>
      <c r="F11" s="30" t="str">
        <f t="shared" si="0"/>
        <v>5KS145BWV105</v>
      </c>
    </row>
    <row r="12" ht="14.25" spans="1:8">
      <c r="A12" s="32">
        <v>10</v>
      </c>
      <c r="B12" s="34" t="s">
        <v>25</v>
      </c>
      <c r="C12" s="32" t="s">
        <v>26</v>
      </c>
      <c r="D12" s="32">
        <v>2</v>
      </c>
      <c r="E12" s="32" t="s">
        <v>8</v>
      </c>
      <c r="F12" s="30" t="str">
        <f t="shared" si="0"/>
        <v>5KS145KWV105</v>
      </c>
    </row>
    <row r="13" ht="14.25" spans="1:8">
      <c r="A13" s="32">
        <v>11</v>
      </c>
      <c r="B13" s="34" t="s">
        <v>27</v>
      </c>
      <c r="C13" s="32" t="s">
        <v>28</v>
      </c>
      <c r="D13" s="32">
        <v>2</v>
      </c>
      <c r="E13" s="32" t="s">
        <v>8</v>
      </c>
      <c r="F13" s="30" t="str">
        <f t="shared" si="0"/>
        <v>5KS145KWV103</v>
      </c>
    </row>
    <row r="14" ht="14.25" spans="1:8">
      <c r="A14" s="32">
        <v>12</v>
      </c>
      <c r="B14" s="34" t="s">
        <v>29</v>
      </c>
      <c r="C14" s="32" t="s">
        <v>30</v>
      </c>
      <c r="D14" s="32">
        <v>2</v>
      </c>
      <c r="E14" s="32" t="s">
        <v>8</v>
      </c>
      <c r="F14" s="30" t="str">
        <f t="shared" si="0"/>
        <v>5KS145KWV109</v>
      </c>
    </row>
    <row r="15" ht="14.25" spans="1:8">
      <c r="A15" s="32">
        <v>13</v>
      </c>
      <c r="B15" s="34" t="s">
        <v>31</v>
      </c>
      <c r="C15" s="32" t="s">
        <v>32</v>
      </c>
      <c r="D15" s="32">
        <v>3</v>
      </c>
      <c r="E15" s="32" t="s">
        <v>8</v>
      </c>
      <c r="F15" s="30" t="str">
        <f t="shared" si="0"/>
        <v>5KS182BWV105</v>
      </c>
    </row>
    <row r="16" ht="14.25" spans="1:8">
      <c r="A16" s="32">
        <v>14</v>
      </c>
      <c r="B16" s="34" t="s">
        <v>33</v>
      </c>
      <c r="C16" s="32" t="s">
        <v>34</v>
      </c>
      <c r="D16" s="32">
        <v>3</v>
      </c>
      <c r="E16" s="32" t="s">
        <v>8</v>
      </c>
      <c r="F16" s="30" t="str">
        <f t="shared" si="0"/>
        <v>5KS182KWV105</v>
      </c>
    </row>
    <row r="17" s="30" customFormat="1" ht="14.25" spans="1:6">
      <c r="A17" s="32">
        <v>15</v>
      </c>
      <c r="B17" s="34" t="s">
        <v>35</v>
      </c>
      <c r="C17" s="32" t="s">
        <v>36</v>
      </c>
      <c r="D17" s="32">
        <v>3</v>
      </c>
      <c r="E17" s="32" t="s">
        <v>8</v>
      </c>
      <c r="F17" s="30" t="str">
        <f t="shared" si="0"/>
        <v>5KS182KWV103</v>
      </c>
    </row>
    <row r="18" s="30" customFormat="1" ht="14.25" spans="1:6">
      <c r="A18" s="32">
        <v>16</v>
      </c>
      <c r="B18" s="34" t="s">
        <v>37</v>
      </c>
      <c r="C18" s="32" t="s">
        <v>38</v>
      </c>
      <c r="D18" s="32">
        <v>3</v>
      </c>
      <c r="E18" s="32" t="s">
        <v>8</v>
      </c>
      <c r="F18" s="30" t="str">
        <f t="shared" si="0"/>
        <v>5KS182KWV109</v>
      </c>
    </row>
    <row r="19" s="30" customFormat="1" ht="14.25" spans="1:6">
      <c r="A19" s="32">
        <v>17</v>
      </c>
      <c r="B19" s="34" t="s">
        <v>39</v>
      </c>
      <c r="C19" s="32" t="s">
        <v>40</v>
      </c>
      <c r="D19" s="32">
        <v>5</v>
      </c>
      <c r="E19" s="32" t="s">
        <v>8</v>
      </c>
      <c r="F19" s="30" t="str">
        <f t="shared" si="0"/>
        <v>5KS184BWV105</v>
      </c>
    </row>
    <row r="20" s="30" customFormat="1" ht="14.25" spans="1:6">
      <c r="A20" s="32">
        <v>18</v>
      </c>
      <c r="B20" s="34" t="s">
        <v>41</v>
      </c>
      <c r="C20" s="32" t="s">
        <v>42</v>
      </c>
      <c r="D20" s="32">
        <v>5</v>
      </c>
      <c r="E20" s="32" t="s">
        <v>8</v>
      </c>
      <c r="F20" s="30" t="str">
        <f t="shared" si="0"/>
        <v>5KS184KWV105</v>
      </c>
    </row>
    <row r="21" s="30" customFormat="1" ht="14.25" spans="1:6">
      <c r="A21" s="32">
        <v>19</v>
      </c>
      <c r="B21" s="34" t="s">
        <v>43</v>
      </c>
      <c r="C21" s="32" t="s">
        <v>44</v>
      </c>
      <c r="D21" s="32">
        <v>5</v>
      </c>
      <c r="E21" s="32" t="s">
        <v>8</v>
      </c>
      <c r="F21" s="30" t="str">
        <f t="shared" si="0"/>
        <v>5KS184KWV103</v>
      </c>
    </row>
    <row r="22" s="30" customFormat="1" ht="14.25" spans="1:6">
      <c r="A22" s="32">
        <v>20</v>
      </c>
      <c r="B22" s="34" t="s">
        <v>45</v>
      </c>
      <c r="C22" s="32" t="s">
        <v>46</v>
      </c>
      <c r="D22" s="32">
        <v>5</v>
      </c>
      <c r="E22" s="32" t="s">
        <v>8</v>
      </c>
      <c r="F22" s="30" t="str">
        <f t="shared" si="0"/>
        <v>5KS184KWV109</v>
      </c>
    </row>
    <row r="23" s="30" customFormat="1" ht="14.25" spans="1:6">
      <c r="A23" s="32">
        <v>21</v>
      </c>
      <c r="B23" s="34" t="s">
        <v>47</v>
      </c>
      <c r="C23" s="32" t="s">
        <v>48</v>
      </c>
      <c r="D23" s="32">
        <v>7.5</v>
      </c>
      <c r="E23" s="32" t="s">
        <v>8</v>
      </c>
      <c r="F23" s="30" t="str">
        <f t="shared" si="0"/>
        <v>5KS213BWV105</v>
      </c>
    </row>
    <row r="24" s="30" customFormat="1" ht="14.25" spans="1:6">
      <c r="A24" s="32">
        <v>22</v>
      </c>
      <c r="B24" s="34" t="s">
        <v>49</v>
      </c>
      <c r="C24" s="32" t="s">
        <v>50</v>
      </c>
      <c r="D24" s="32">
        <v>7.5</v>
      </c>
      <c r="E24" s="32" t="s">
        <v>8</v>
      </c>
      <c r="F24" s="30" t="str">
        <f t="shared" si="0"/>
        <v>5KS213KWV105</v>
      </c>
    </row>
    <row r="25" s="30" customFormat="1" ht="14.25" spans="1:6">
      <c r="A25" s="32">
        <v>23</v>
      </c>
      <c r="B25" s="34" t="s">
        <v>51</v>
      </c>
      <c r="C25" s="32" t="s">
        <v>52</v>
      </c>
      <c r="D25" s="32">
        <v>7.5</v>
      </c>
      <c r="E25" s="32" t="s">
        <v>8</v>
      </c>
      <c r="F25" s="30" t="str">
        <f t="shared" si="0"/>
        <v>5KS213KWV103</v>
      </c>
    </row>
    <row r="26" s="30" customFormat="1" ht="14.25" spans="1:6">
      <c r="A26" s="32">
        <v>24</v>
      </c>
      <c r="B26" s="34" t="s">
        <v>53</v>
      </c>
      <c r="C26" s="32" t="s">
        <v>54</v>
      </c>
      <c r="D26" s="32">
        <v>7.5</v>
      </c>
      <c r="E26" s="32" t="s">
        <v>8</v>
      </c>
      <c r="F26" s="30" t="str">
        <f t="shared" si="0"/>
        <v>5KS213KWV109</v>
      </c>
    </row>
    <row r="27" s="30" customFormat="1" ht="14.25" spans="1:6">
      <c r="A27" s="32">
        <v>25</v>
      </c>
      <c r="B27" s="34" t="s">
        <v>55</v>
      </c>
      <c r="C27" s="32" t="s">
        <v>56</v>
      </c>
      <c r="D27" s="32">
        <v>10</v>
      </c>
      <c r="E27" s="32" t="s">
        <v>8</v>
      </c>
      <c r="F27" s="30" t="str">
        <f t="shared" si="0"/>
        <v>5KS215BWV105</v>
      </c>
    </row>
    <row r="28" s="30" customFormat="1" ht="14.25" spans="1:6">
      <c r="A28" s="32">
        <v>26</v>
      </c>
      <c r="B28" s="34" t="s">
        <v>57</v>
      </c>
      <c r="C28" s="32" t="s">
        <v>58</v>
      </c>
      <c r="D28" s="32">
        <v>10</v>
      </c>
      <c r="E28" s="32" t="s">
        <v>8</v>
      </c>
      <c r="F28" s="30" t="str">
        <f t="shared" si="0"/>
        <v>5KS215KWV105</v>
      </c>
    </row>
    <row r="29" s="30" customFormat="1" ht="14.25" spans="1:6">
      <c r="A29" s="32">
        <v>27</v>
      </c>
      <c r="B29" s="34" t="s">
        <v>59</v>
      </c>
      <c r="C29" s="32" t="s">
        <v>60</v>
      </c>
      <c r="D29" s="32">
        <v>10</v>
      </c>
      <c r="E29" s="32" t="s">
        <v>8</v>
      </c>
      <c r="F29" s="30" t="str">
        <f t="shared" si="0"/>
        <v>5KS215KWV103</v>
      </c>
    </row>
    <row r="30" s="30" customFormat="1" ht="14.25" spans="1:6">
      <c r="A30" s="32">
        <v>28</v>
      </c>
      <c r="B30" s="34" t="s">
        <v>61</v>
      </c>
      <c r="C30" s="32" t="s">
        <v>62</v>
      </c>
      <c r="D30" s="32">
        <v>10</v>
      </c>
      <c r="E30" s="32" t="s">
        <v>8</v>
      </c>
      <c r="F30" s="30" t="str">
        <f t="shared" si="0"/>
        <v>5KS215KWV109</v>
      </c>
    </row>
    <row r="31" s="30" customFormat="1" ht="14.25" spans="1:6">
      <c r="A31" s="32">
        <v>29</v>
      </c>
      <c r="B31" s="34" t="s">
        <v>63</v>
      </c>
      <c r="C31" s="36" t="s">
        <v>64</v>
      </c>
      <c r="D31" s="32">
        <v>10</v>
      </c>
      <c r="E31" s="32" t="s">
        <v>8</v>
      </c>
      <c r="F31" s="30" t="str">
        <f t="shared" si="0"/>
        <v>5KS215KWV121</v>
      </c>
    </row>
    <row r="32" s="30" customFormat="1" ht="14.25" spans="1:6">
      <c r="A32" s="32">
        <v>30</v>
      </c>
      <c r="B32" s="34" t="s">
        <v>65</v>
      </c>
      <c r="C32" s="32" t="s">
        <v>66</v>
      </c>
      <c r="D32" s="32">
        <v>15</v>
      </c>
      <c r="E32" s="32" t="s">
        <v>8</v>
      </c>
      <c r="F32" s="30" t="str">
        <f t="shared" si="0"/>
        <v>5KS254BWV105</v>
      </c>
    </row>
    <row r="33" s="30" customFormat="1" ht="14.25" spans="1:6">
      <c r="A33" s="32">
        <v>31</v>
      </c>
      <c r="B33" s="34" t="s">
        <v>67</v>
      </c>
      <c r="C33" s="32" t="s">
        <v>68</v>
      </c>
      <c r="D33" s="32">
        <v>15</v>
      </c>
      <c r="E33" s="32" t="s">
        <v>8</v>
      </c>
      <c r="F33" s="30" t="str">
        <f t="shared" si="0"/>
        <v>5KS254KWV105</v>
      </c>
    </row>
    <row r="34" s="30" customFormat="1" ht="14.25" spans="1:6">
      <c r="A34" s="32">
        <v>32</v>
      </c>
      <c r="B34" s="34" t="s">
        <v>69</v>
      </c>
      <c r="C34" s="37" t="s">
        <v>70</v>
      </c>
      <c r="D34" s="32">
        <v>15</v>
      </c>
      <c r="E34" s="32" t="s">
        <v>8</v>
      </c>
      <c r="F34" s="30" t="str">
        <f t="shared" si="0"/>
        <v>5KS215KWV125</v>
      </c>
    </row>
    <row r="35" s="30" customFormat="1" ht="14.25" spans="1:6">
      <c r="A35" s="32">
        <v>33</v>
      </c>
      <c r="B35" s="34" t="s">
        <v>71</v>
      </c>
      <c r="C35" s="32" t="s">
        <v>72</v>
      </c>
      <c r="D35" s="32">
        <v>15</v>
      </c>
      <c r="E35" s="32" t="s">
        <v>8</v>
      </c>
      <c r="F35" s="30" t="str">
        <f t="shared" si="0"/>
        <v>5KS254KWV103</v>
      </c>
    </row>
    <row r="36" s="30" customFormat="1" ht="14.25" spans="1:6">
      <c r="A36" s="32">
        <v>34</v>
      </c>
      <c r="B36" s="34" t="s">
        <v>73</v>
      </c>
      <c r="C36" s="32" t="s">
        <v>74</v>
      </c>
      <c r="D36" s="32">
        <v>15</v>
      </c>
      <c r="E36" s="32" t="s">
        <v>8</v>
      </c>
      <c r="F36" s="30" t="str">
        <f t="shared" ref="F36:F67" si="1">LEFT(C36,12)</f>
        <v>5KS254KWV109</v>
      </c>
    </row>
    <row r="37" s="30" customFormat="1" ht="14.25" spans="1:6">
      <c r="A37" s="32">
        <v>35</v>
      </c>
      <c r="B37" s="34" t="s">
        <v>75</v>
      </c>
      <c r="C37" s="36" t="s">
        <v>76</v>
      </c>
      <c r="D37" s="32">
        <v>15</v>
      </c>
      <c r="E37" s="32" t="s">
        <v>8</v>
      </c>
      <c r="F37" s="30" t="str">
        <f t="shared" si="1"/>
        <v>5KS215KWV120</v>
      </c>
    </row>
    <row r="38" s="30" customFormat="1" ht="14.25" spans="1:6">
      <c r="A38" s="32">
        <v>36</v>
      </c>
      <c r="B38" s="34" t="s">
        <v>77</v>
      </c>
      <c r="C38" s="32" t="s">
        <v>78</v>
      </c>
      <c r="D38" s="32">
        <v>20</v>
      </c>
      <c r="E38" s="32" t="s">
        <v>8</v>
      </c>
      <c r="F38" s="30" t="str">
        <f t="shared" si="1"/>
        <v>5KS256BWV105</v>
      </c>
    </row>
    <row r="39" s="30" customFormat="1" ht="14.25" spans="1:6">
      <c r="A39" s="32">
        <v>37</v>
      </c>
      <c r="B39" s="34" t="s">
        <v>79</v>
      </c>
      <c r="C39" s="32" t="s">
        <v>80</v>
      </c>
      <c r="D39" s="32">
        <v>20</v>
      </c>
      <c r="E39" s="32" t="s">
        <v>8</v>
      </c>
      <c r="F39" s="30" t="str">
        <f t="shared" si="1"/>
        <v>5KS256KWV105</v>
      </c>
    </row>
    <row r="40" s="30" customFormat="1" ht="14.25" spans="1:6">
      <c r="A40" s="32">
        <v>38</v>
      </c>
      <c r="B40" s="34" t="s">
        <v>81</v>
      </c>
      <c r="C40" s="32" t="s">
        <v>82</v>
      </c>
      <c r="D40" s="32">
        <v>20</v>
      </c>
      <c r="E40" s="32" t="s">
        <v>8</v>
      </c>
      <c r="F40" s="30" t="str">
        <f t="shared" si="1"/>
        <v>5KS256KWV103</v>
      </c>
    </row>
    <row r="41" s="30" customFormat="1" ht="14.25" spans="1:6">
      <c r="A41" s="32">
        <v>39</v>
      </c>
      <c r="B41" s="34" t="s">
        <v>83</v>
      </c>
      <c r="C41" s="32" t="s">
        <v>84</v>
      </c>
      <c r="D41" s="32">
        <v>20</v>
      </c>
      <c r="E41" s="32" t="s">
        <v>8</v>
      </c>
      <c r="F41" s="30" t="str">
        <f t="shared" si="1"/>
        <v>5KS256KWV109</v>
      </c>
    </row>
    <row r="42" s="30" customFormat="1" ht="14.25" spans="1:6">
      <c r="A42" s="32">
        <v>40</v>
      </c>
      <c r="B42" s="34" t="s">
        <v>85</v>
      </c>
      <c r="C42" s="32" t="s">
        <v>86</v>
      </c>
      <c r="D42" s="32">
        <v>25</v>
      </c>
      <c r="E42" s="32" t="s">
        <v>8</v>
      </c>
      <c r="F42" s="30" t="str">
        <f t="shared" si="1"/>
        <v>5KS284BWV115</v>
      </c>
    </row>
    <row r="43" s="30" customFormat="1" ht="14.25" spans="1:6">
      <c r="A43" s="32">
        <v>41</v>
      </c>
      <c r="B43" s="34" t="s">
        <v>87</v>
      </c>
      <c r="C43" s="32" t="s">
        <v>88</v>
      </c>
      <c r="D43" s="32">
        <v>25</v>
      </c>
      <c r="E43" s="32" t="s">
        <v>8</v>
      </c>
      <c r="F43" s="30" t="str">
        <f t="shared" si="1"/>
        <v>5KS284KWV115</v>
      </c>
    </row>
    <row r="44" s="30" customFormat="1" ht="14.25" spans="1:6">
      <c r="A44" s="32">
        <v>42</v>
      </c>
      <c r="B44" s="34" t="s">
        <v>89</v>
      </c>
      <c r="C44" s="32" t="s">
        <v>90</v>
      </c>
      <c r="D44" s="32">
        <v>25</v>
      </c>
      <c r="E44" s="32" t="s">
        <v>8</v>
      </c>
      <c r="F44" s="30" t="str">
        <f t="shared" si="1"/>
        <v>5KS284KWV113</v>
      </c>
    </row>
    <row r="45" s="30" customFormat="1" ht="14.25" spans="1:6">
      <c r="A45" s="32">
        <v>43</v>
      </c>
      <c r="B45" s="34" t="s">
        <v>91</v>
      </c>
      <c r="C45" s="32" t="s">
        <v>92</v>
      </c>
      <c r="D45" s="32">
        <v>25</v>
      </c>
      <c r="E45" s="32" t="s">
        <v>8</v>
      </c>
      <c r="F45" s="30" t="str">
        <f t="shared" si="1"/>
        <v>5KS284KWV119</v>
      </c>
    </row>
    <row r="46" s="30" customFormat="1" ht="14.25" spans="1:6">
      <c r="A46" s="32">
        <v>44</v>
      </c>
      <c r="B46" s="34" t="s">
        <v>93</v>
      </c>
      <c r="C46" s="32" t="s">
        <v>94</v>
      </c>
      <c r="D46" s="32">
        <v>30</v>
      </c>
      <c r="E46" s="32" t="s">
        <v>8</v>
      </c>
      <c r="F46" s="30" t="str">
        <f t="shared" si="1"/>
        <v>5KS286BWV115</v>
      </c>
    </row>
    <row r="47" s="30" customFormat="1" ht="14.25" spans="1:6">
      <c r="A47" s="32">
        <v>45</v>
      </c>
      <c r="B47" s="34" t="s">
        <v>95</v>
      </c>
      <c r="C47" s="32" t="s">
        <v>96</v>
      </c>
      <c r="D47" s="32">
        <v>30</v>
      </c>
      <c r="E47" s="32" t="s">
        <v>8</v>
      </c>
      <c r="F47" s="30" t="str">
        <f t="shared" si="1"/>
        <v>5KS286KWV115</v>
      </c>
    </row>
    <row r="48" s="30" customFormat="1" ht="14.25" spans="1:6">
      <c r="A48" s="32">
        <v>46</v>
      </c>
      <c r="B48" s="34" t="s">
        <v>97</v>
      </c>
      <c r="C48" s="32" t="s">
        <v>98</v>
      </c>
      <c r="D48" s="32">
        <v>30</v>
      </c>
      <c r="E48" s="32" t="s">
        <v>8</v>
      </c>
      <c r="F48" s="30" t="str">
        <f t="shared" si="1"/>
        <v>5KS286KWV113</v>
      </c>
    </row>
    <row r="49" s="30" customFormat="1" ht="14.25" spans="1:6">
      <c r="A49" s="32">
        <v>47</v>
      </c>
      <c r="B49" s="34" t="s">
        <v>99</v>
      </c>
      <c r="C49" s="32" t="s">
        <v>100</v>
      </c>
      <c r="D49" s="32">
        <v>30</v>
      </c>
      <c r="E49" s="32" t="s">
        <v>8</v>
      </c>
      <c r="F49" s="30" t="str">
        <f t="shared" si="1"/>
        <v>5KS286KWV119</v>
      </c>
    </row>
    <row r="50" s="30" customFormat="1" ht="14.25" spans="1:6">
      <c r="A50" s="32">
        <v>48</v>
      </c>
      <c r="B50" s="34" t="s">
        <v>101</v>
      </c>
      <c r="C50" s="32" t="s">
        <v>102</v>
      </c>
      <c r="D50" s="32">
        <v>1</v>
      </c>
      <c r="E50" s="32" t="s">
        <v>8</v>
      </c>
      <c r="F50" s="30" t="str">
        <f t="shared" si="1"/>
        <v>5KS143BWV205</v>
      </c>
    </row>
    <row r="51" s="30" customFormat="1" ht="14.25" spans="1:6">
      <c r="A51" s="32">
        <v>49</v>
      </c>
      <c r="B51" s="34" t="s">
        <v>103</v>
      </c>
      <c r="C51" s="32" t="s">
        <v>104</v>
      </c>
      <c r="D51" s="32">
        <v>1</v>
      </c>
      <c r="E51" s="32" t="s">
        <v>8</v>
      </c>
      <c r="F51" s="30" t="str">
        <f t="shared" si="1"/>
        <v>5KS143KWV205</v>
      </c>
    </row>
    <row r="52" s="30" customFormat="1" ht="14.25" spans="1:6">
      <c r="A52" s="32">
        <v>50</v>
      </c>
      <c r="B52" s="34" t="s">
        <v>105</v>
      </c>
      <c r="C52" s="32" t="s">
        <v>106</v>
      </c>
      <c r="D52" s="32">
        <v>1</v>
      </c>
      <c r="E52" s="32" t="s">
        <v>8</v>
      </c>
      <c r="F52" s="30" t="str">
        <f t="shared" si="1"/>
        <v>5KS143KWV203</v>
      </c>
    </row>
    <row r="53" s="30" customFormat="1" ht="14.25" spans="1:6">
      <c r="A53" s="32">
        <v>51</v>
      </c>
      <c r="B53" s="34" t="s">
        <v>107</v>
      </c>
      <c r="C53" s="32" t="s">
        <v>108</v>
      </c>
      <c r="D53" s="32">
        <v>1</v>
      </c>
      <c r="E53" s="32" t="s">
        <v>8</v>
      </c>
      <c r="F53" s="30" t="str">
        <f t="shared" si="1"/>
        <v>5KS143KWV209</v>
      </c>
    </row>
    <row r="54" s="30" customFormat="1" ht="14.25" spans="1:6">
      <c r="A54" s="32">
        <v>52</v>
      </c>
      <c r="B54" s="34" t="s">
        <v>109</v>
      </c>
      <c r="C54" s="32" t="s">
        <v>110</v>
      </c>
      <c r="D54" s="32">
        <v>1.5</v>
      </c>
      <c r="E54" s="32" t="s">
        <v>8</v>
      </c>
      <c r="F54" s="30" t="str">
        <f t="shared" si="1"/>
        <v>5KS145BWV201</v>
      </c>
    </row>
    <row r="55" s="30" customFormat="1" ht="14.25" spans="1:6">
      <c r="A55" s="32">
        <v>53</v>
      </c>
      <c r="B55" s="34" t="s">
        <v>111</v>
      </c>
      <c r="C55" s="32" t="s">
        <v>112</v>
      </c>
      <c r="D55" s="32">
        <v>1.5</v>
      </c>
      <c r="E55" s="32" t="s">
        <v>8</v>
      </c>
      <c r="F55" s="30" t="str">
        <f t="shared" si="1"/>
        <v>5KS145KWV201</v>
      </c>
    </row>
    <row r="56" s="30" customFormat="1" ht="14.25" spans="1:6">
      <c r="A56" s="32">
        <v>54</v>
      </c>
      <c r="B56" s="34" t="s">
        <v>113</v>
      </c>
      <c r="C56" s="32" t="s">
        <v>114</v>
      </c>
      <c r="D56" s="32">
        <v>1.5</v>
      </c>
      <c r="E56" s="32" t="s">
        <v>8</v>
      </c>
      <c r="F56" s="30" t="str">
        <f t="shared" si="1"/>
        <v>5KS145KWV202</v>
      </c>
    </row>
    <row r="57" s="30" customFormat="1" ht="14.25" spans="1:6">
      <c r="A57" s="32">
        <v>55</v>
      </c>
      <c r="B57" s="34" t="s">
        <v>115</v>
      </c>
      <c r="C57" s="32" t="s">
        <v>116</v>
      </c>
      <c r="D57" s="32">
        <v>1.5</v>
      </c>
      <c r="E57" s="32" t="s">
        <v>8</v>
      </c>
      <c r="F57" s="30" t="str">
        <f t="shared" si="1"/>
        <v>5KS145KWV207</v>
      </c>
    </row>
    <row r="58" s="30" customFormat="1" ht="14.25" spans="1:6">
      <c r="A58" s="32">
        <v>56</v>
      </c>
      <c r="B58" s="34" t="s">
        <v>117</v>
      </c>
      <c r="C58" s="32" t="s">
        <v>118</v>
      </c>
      <c r="D58" s="32">
        <v>2</v>
      </c>
      <c r="E58" s="32" t="s">
        <v>8</v>
      </c>
      <c r="F58" s="30" t="str">
        <f t="shared" si="1"/>
        <v>5KS145BWV205</v>
      </c>
    </row>
    <row r="59" s="30" customFormat="1" ht="14.25" spans="1:6">
      <c r="A59" s="32">
        <v>57</v>
      </c>
      <c r="B59" s="34" t="s">
        <v>119</v>
      </c>
      <c r="C59" s="32" t="s">
        <v>120</v>
      </c>
      <c r="D59" s="32">
        <v>2</v>
      </c>
      <c r="E59" s="32" t="s">
        <v>8</v>
      </c>
      <c r="F59" s="30" t="str">
        <f t="shared" si="1"/>
        <v>5KS145KWV205</v>
      </c>
    </row>
    <row r="60" s="30" customFormat="1" ht="14.25" spans="1:6">
      <c r="A60" s="32">
        <v>58</v>
      </c>
      <c r="B60" s="34" t="s">
        <v>121</v>
      </c>
      <c r="C60" s="32" t="s">
        <v>122</v>
      </c>
      <c r="D60" s="32">
        <v>2</v>
      </c>
      <c r="E60" s="32" t="s">
        <v>8</v>
      </c>
      <c r="F60" s="30" t="str">
        <f t="shared" si="1"/>
        <v>5KS145KWV203</v>
      </c>
    </row>
    <row r="61" s="30" customFormat="1" ht="14.25" spans="1:6">
      <c r="A61" s="32">
        <v>59</v>
      </c>
      <c r="B61" s="34" t="s">
        <v>123</v>
      </c>
      <c r="C61" s="32" t="s">
        <v>124</v>
      </c>
      <c r="D61" s="32">
        <v>2</v>
      </c>
      <c r="E61" s="32" t="s">
        <v>8</v>
      </c>
      <c r="F61" s="30" t="str">
        <f t="shared" si="1"/>
        <v>5KS145KWV209</v>
      </c>
    </row>
    <row r="62" s="30" customFormat="1" ht="14.25" spans="1:6">
      <c r="A62" s="32">
        <v>60</v>
      </c>
      <c r="B62" s="34" t="s">
        <v>125</v>
      </c>
      <c r="C62" s="32" t="s">
        <v>126</v>
      </c>
      <c r="D62" s="32">
        <v>3</v>
      </c>
      <c r="E62" s="32" t="s">
        <v>8</v>
      </c>
      <c r="F62" s="30" t="str">
        <f t="shared" si="1"/>
        <v>5KS182BWV205</v>
      </c>
    </row>
    <row r="63" s="30" customFormat="1" ht="14.25" spans="1:6">
      <c r="A63" s="32">
        <v>61</v>
      </c>
      <c r="B63" s="34" t="s">
        <v>127</v>
      </c>
      <c r="C63" s="32" t="s">
        <v>128</v>
      </c>
      <c r="D63" s="32">
        <v>3</v>
      </c>
      <c r="E63" s="32" t="s">
        <v>8</v>
      </c>
      <c r="F63" s="30" t="str">
        <f t="shared" si="1"/>
        <v>5KS182KWV205</v>
      </c>
    </row>
    <row r="64" s="30" customFormat="1" ht="14.25" spans="1:6">
      <c r="A64" s="32">
        <v>62</v>
      </c>
      <c r="B64" s="34" t="s">
        <v>129</v>
      </c>
      <c r="C64" s="32" t="s">
        <v>130</v>
      </c>
      <c r="D64" s="32">
        <v>3</v>
      </c>
      <c r="E64" s="32" t="s">
        <v>8</v>
      </c>
      <c r="F64" s="30" t="str">
        <f t="shared" si="1"/>
        <v>5KS182KWV203</v>
      </c>
    </row>
    <row r="65" s="30" customFormat="1" ht="14.25" spans="1:6">
      <c r="A65" s="32">
        <v>63</v>
      </c>
      <c r="B65" s="34" t="s">
        <v>131</v>
      </c>
      <c r="C65" s="32" t="s">
        <v>132</v>
      </c>
      <c r="D65" s="32">
        <v>3</v>
      </c>
      <c r="E65" s="32" t="s">
        <v>8</v>
      </c>
      <c r="F65" s="30" t="str">
        <f t="shared" si="1"/>
        <v>5KS182KWV209</v>
      </c>
    </row>
    <row r="66" s="30" customFormat="1" ht="14.25" spans="1:6">
      <c r="A66" s="32">
        <v>64</v>
      </c>
      <c r="B66" s="34" t="s">
        <v>133</v>
      </c>
      <c r="C66" s="32" t="s">
        <v>134</v>
      </c>
      <c r="D66" s="32">
        <v>5</v>
      </c>
      <c r="E66" s="32" t="s">
        <v>8</v>
      </c>
      <c r="F66" s="30" t="str">
        <f t="shared" si="1"/>
        <v>5KS184BWV205</v>
      </c>
    </row>
    <row r="67" s="30" customFormat="1" ht="14.25" spans="1:6">
      <c r="A67" s="32">
        <v>65</v>
      </c>
      <c r="B67" s="34" t="s">
        <v>135</v>
      </c>
      <c r="C67" s="32" t="s">
        <v>136</v>
      </c>
      <c r="D67" s="32">
        <v>5</v>
      </c>
      <c r="E67" s="32" t="s">
        <v>8</v>
      </c>
      <c r="F67" s="30" t="str">
        <f t="shared" si="1"/>
        <v>5KS184KWV205</v>
      </c>
    </row>
    <row r="68" s="30" customFormat="1" ht="14.25" spans="1:6">
      <c r="A68" s="32">
        <v>66</v>
      </c>
      <c r="B68" s="34" t="s">
        <v>137</v>
      </c>
      <c r="C68" s="32" t="s">
        <v>138</v>
      </c>
      <c r="D68" s="32">
        <v>5</v>
      </c>
      <c r="E68" s="32" t="s">
        <v>8</v>
      </c>
      <c r="F68" s="30" t="str">
        <f t="shared" ref="F68:F99" si="2">LEFT(C68,12)</f>
        <v>5KS184KWV203</v>
      </c>
    </row>
    <row r="69" s="30" customFormat="1" ht="14.25" spans="1:6">
      <c r="A69" s="32">
        <v>67</v>
      </c>
      <c r="B69" s="34" t="s">
        <v>139</v>
      </c>
      <c r="C69" s="32" t="s">
        <v>140</v>
      </c>
      <c r="D69" s="32">
        <v>5</v>
      </c>
      <c r="E69" s="32" t="s">
        <v>8</v>
      </c>
      <c r="F69" s="30" t="str">
        <f t="shared" si="2"/>
        <v>5KS184KWV209</v>
      </c>
    </row>
    <row r="70" s="30" customFormat="1" ht="14.25" spans="1:6">
      <c r="A70" s="32">
        <v>68</v>
      </c>
      <c r="B70" s="34" t="s">
        <v>141</v>
      </c>
      <c r="C70" s="32" t="s">
        <v>142</v>
      </c>
      <c r="D70" s="32">
        <v>7.5</v>
      </c>
      <c r="E70" s="32" t="s">
        <v>8</v>
      </c>
      <c r="F70" s="30" t="str">
        <f t="shared" si="2"/>
        <v>5KS213BWV205</v>
      </c>
    </row>
    <row r="71" s="30" customFormat="1" ht="14.25" spans="1:6">
      <c r="A71" s="32">
        <v>69</v>
      </c>
      <c r="B71" s="34" t="s">
        <v>143</v>
      </c>
      <c r="C71" s="32" t="s">
        <v>144</v>
      </c>
      <c r="D71" s="32">
        <v>7.5</v>
      </c>
      <c r="E71" s="32" t="s">
        <v>8</v>
      </c>
      <c r="F71" s="30" t="str">
        <f t="shared" si="2"/>
        <v>5KS213KWV205</v>
      </c>
    </row>
    <row r="72" s="30" customFormat="1" ht="14.25" spans="1:6">
      <c r="A72" s="32">
        <v>70</v>
      </c>
      <c r="B72" s="34" t="s">
        <v>145</v>
      </c>
      <c r="C72" s="32" t="s">
        <v>146</v>
      </c>
      <c r="D72" s="32">
        <v>7.5</v>
      </c>
      <c r="E72" s="32" t="s">
        <v>8</v>
      </c>
      <c r="F72" s="30" t="str">
        <f t="shared" si="2"/>
        <v>5KS213KWV203</v>
      </c>
    </row>
    <row r="73" s="30" customFormat="1" ht="14.25" spans="1:6">
      <c r="A73" s="32">
        <v>71</v>
      </c>
      <c r="B73" s="34" t="s">
        <v>147</v>
      </c>
      <c r="C73" s="32" t="s">
        <v>148</v>
      </c>
      <c r="D73" s="32">
        <v>7.5</v>
      </c>
      <c r="E73" s="32" t="s">
        <v>8</v>
      </c>
      <c r="F73" s="30" t="str">
        <f t="shared" si="2"/>
        <v>5KS213KWV209</v>
      </c>
    </row>
    <row r="74" s="30" customFormat="1" ht="14.25" spans="1:6">
      <c r="A74" s="32">
        <v>72</v>
      </c>
      <c r="B74" s="34" t="s">
        <v>149</v>
      </c>
      <c r="C74" s="32" t="s">
        <v>150</v>
      </c>
      <c r="D74" s="32">
        <v>10</v>
      </c>
      <c r="E74" s="32" t="s">
        <v>8</v>
      </c>
      <c r="F74" s="30" t="str">
        <f t="shared" si="2"/>
        <v>5KS215BWV205</v>
      </c>
    </row>
    <row r="75" s="30" customFormat="1" ht="14.25" spans="1:6">
      <c r="A75" s="32">
        <v>73</v>
      </c>
      <c r="B75" s="34" t="s">
        <v>151</v>
      </c>
      <c r="C75" s="32" t="s">
        <v>152</v>
      </c>
      <c r="D75" s="32">
        <v>10</v>
      </c>
      <c r="E75" s="32" t="s">
        <v>8</v>
      </c>
      <c r="F75" s="30" t="str">
        <f t="shared" si="2"/>
        <v>5KS215KWV205</v>
      </c>
    </row>
    <row r="76" s="30" customFormat="1" ht="14.25" spans="1:6">
      <c r="A76" s="32">
        <v>74</v>
      </c>
      <c r="B76" s="34" t="s">
        <v>153</v>
      </c>
      <c r="C76" s="32" t="s">
        <v>154</v>
      </c>
      <c r="D76" s="32">
        <v>10</v>
      </c>
      <c r="E76" s="32" t="s">
        <v>8</v>
      </c>
      <c r="F76" s="30" t="str">
        <f t="shared" si="2"/>
        <v>5KS215KWV203</v>
      </c>
    </row>
    <row r="77" s="30" customFormat="1" ht="14.25" spans="1:6">
      <c r="A77" s="32">
        <v>75</v>
      </c>
      <c r="B77" s="34" t="s">
        <v>155</v>
      </c>
      <c r="C77" s="32" t="s">
        <v>156</v>
      </c>
      <c r="D77" s="32">
        <v>10</v>
      </c>
      <c r="E77" s="32" t="s">
        <v>8</v>
      </c>
      <c r="F77" s="30" t="str">
        <f t="shared" si="2"/>
        <v>5KS215KWV209</v>
      </c>
    </row>
    <row r="78" s="30" customFormat="1" ht="14.25" spans="1:6">
      <c r="A78" s="32">
        <v>76</v>
      </c>
      <c r="B78" s="34" t="s">
        <v>157</v>
      </c>
      <c r="C78" s="32" t="s">
        <v>158</v>
      </c>
      <c r="D78" s="32">
        <v>15</v>
      </c>
      <c r="E78" s="32" t="s">
        <v>8</v>
      </c>
      <c r="F78" s="30" t="str">
        <f t="shared" si="2"/>
        <v>5KS254BWV205</v>
      </c>
    </row>
    <row r="79" s="30" customFormat="1" ht="14.25" spans="1:6">
      <c r="A79" s="32">
        <v>77</v>
      </c>
      <c r="B79" s="34" t="s">
        <v>159</v>
      </c>
      <c r="C79" s="32" t="s">
        <v>160</v>
      </c>
      <c r="D79" s="32">
        <v>15</v>
      </c>
      <c r="E79" s="32" t="s">
        <v>8</v>
      </c>
      <c r="F79" s="30" t="str">
        <f t="shared" si="2"/>
        <v>5KS254KWV205</v>
      </c>
    </row>
    <row r="80" s="30" customFormat="1" ht="14.25" spans="1:6">
      <c r="A80" s="32">
        <v>78</v>
      </c>
      <c r="B80" s="34" t="s">
        <v>161</v>
      </c>
      <c r="C80" s="32" t="s">
        <v>162</v>
      </c>
      <c r="D80" s="32">
        <v>15</v>
      </c>
      <c r="E80" s="32" t="s">
        <v>8</v>
      </c>
      <c r="F80" s="30" t="str">
        <f t="shared" si="2"/>
        <v>5KS254KWV203</v>
      </c>
    </row>
    <row r="81" s="30" customFormat="1" ht="14.25" spans="1:6">
      <c r="A81" s="32">
        <v>79</v>
      </c>
      <c r="B81" s="34" t="s">
        <v>163</v>
      </c>
      <c r="C81" s="32" t="s">
        <v>164</v>
      </c>
      <c r="D81" s="32">
        <v>15</v>
      </c>
      <c r="E81" s="32" t="s">
        <v>8</v>
      </c>
      <c r="F81" s="30" t="str">
        <f t="shared" si="2"/>
        <v>5KS254KWV209</v>
      </c>
    </row>
    <row r="82" s="30" customFormat="1" ht="14.25" spans="1:6">
      <c r="A82" s="32">
        <v>80</v>
      </c>
      <c r="B82" s="34" t="s">
        <v>165</v>
      </c>
      <c r="C82" s="32" t="s">
        <v>166</v>
      </c>
      <c r="D82" s="32">
        <v>20</v>
      </c>
      <c r="E82" s="32" t="s">
        <v>8</v>
      </c>
      <c r="F82" s="30" t="str">
        <f t="shared" si="2"/>
        <v>5KS256BWV205</v>
      </c>
    </row>
    <row r="83" s="30" customFormat="1" ht="14.25" spans="1:6">
      <c r="A83" s="32">
        <v>81</v>
      </c>
      <c r="B83" s="34" t="s">
        <v>167</v>
      </c>
      <c r="C83" s="32" t="s">
        <v>168</v>
      </c>
      <c r="D83" s="32">
        <v>20</v>
      </c>
      <c r="E83" s="32" t="s">
        <v>8</v>
      </c>
      <c r="F83" s="30" t="str">
        <f t="shared" si="2"/>
        <v>5KS256KWV205</v>
      </c>
    </row>
    <row r="84" s="30" customFormat="1" ht="14.25" spans="1:6">
      <c r="A84" s="32">
        <v>82</v>
      </c>
      <c r="B84" s="34" t="s">
        <v>169</v>
      </c>
      <c r="C84" s="32" t="s">
        <v>170</v>
      </c>
      <c r="D84" s="32">
        <v>20</v>
      </c>
      <c r="E84" s="32" t="s">
        <v>8</v>
      </c>
      <c r="F84" s="30" t="str">
        <f t="shared" si="2"/>
        <v>5KS256KWV203</v>
      </c>
    </row>
    <row r="85" s="30" customFormat="1" ht="14.25" spans="1:6">
      <c r="A85" s="32">
        <v>83</v>
      </c>
      <c r="B85" s="34" t="s">
        <v>171</v>
      </c>
      <c r="C85" s="32" t="s">
        <v>172</v>
      </c>
      <c r="D85" s="32">
        <v>20</v>
      </c>
      <c r="E85" s="32" t="s">
        <v>8</v>
      </c>
      <c r="F85" s="30" t="str">
        <f t="shared" si="2"/>
        <v>5KS256KWV209</v>
      </c>
    </row>
    <row r="86" s="30" customFormat="1" ht="14.25" spans="1:6">
      <c r="A86" s="32">
        <v>84</v>
      </c>
      <c r="B86" s="34" t="s">
        <v>173</v>
      </c>
      <c r="C86" s="32" t="s">
        <v>174</v>
      </c>
      <c r="D86" s="32">
        <v>25</v>
      </c>
      <c r="E86" s="32" t="s">
        <v>8</v>
      </c>
      <c r="F86" s="30" t="str">
        <f t="shared" si="2"/>
        <v>5KS284BWV205</v>
      </c>
    </row>
    <row r="87" s="30" customFormat="1" ht="14.25" spans="1:6">
      <c r="A87" s="32">
        <v>85</v>
      </c>
      <c r="B87" s="34" t="s">
        <v>175</v>
      </c>
      <c r="C87" s="32" t="s">
        <v>176</v>
      </c>
      <c r="D87" s="32">
        <v>25</v>
      </c>
      <c r="E87" s="32" t="s">
        <v>8</v>
      </c>
      <c r="F87" s="30" t="str">
        <f t="shared" si="2"/>
        <v>5KS284KWV205</v>
      </c>
    </row>
    <row r="88" s="30" customFormat="1" ht="14.25" spans="1:6">
      <c r="A88" s="32">
        <v>86</v>
      </c>
      <c r="B88" s="34" t="s">
        <v>177</v>
      </c>
      <c r="C88" s="32" t="s">
        <v>178</v>
      </c>
      <c r="D88" s="32">
        <v>25</v>
      </c>
      <c r="E88" s="32" t="s">
        <v>8</v>
      </c>
      <c r="F88" s="30" t="str">
        <f t="shared" si="2"/>
        <v>5KS284KWV203</v>
      </c>
    </row>
    <row r="89" s="30" customFormat="1" ht="14.25" spans="1:6">
      <c r="A89" s="32">
        <v>87</v>
      </c>
      <c r="B89" s="34" t="s">
        <v>179</v>
      </c>
      <c r="C89" s="32" t="s">
        <v>180</v>
      </c>
      <c r="D89" s="32">
        <v>25</v>
      </c>
      <c r="E89" s="32" t="s">
        <v>8</v>
      </c>
      <c r="F89" s="30" t="str">
        <f t="shared" si="2"/>
        <v>5KS284KWV209</v>
      </c>
    </row>
    <row r="90" s="30" customFormat="1" ht="14.25" spans="1:6">
      <c r="A90" s="32">
        <v>88</v>
      </c>
      <c r="B90" s="34" t="s">
        <v>181</v>
      </c>
      <c r="C90" s="32" t="s">
        <v>182</v>
      </c>
      <c r="D90" s="32">
        <v>30</v>
      </c>
      <c r="E90" s="32" t="s">
        <v>8</v>
      </c>
      <c r="F90" s="30" t="str">
        <f t="shared" si="2"/>
        <v>5KS286BWV205</v>
      </c>
    </row>
    <row r="91" s="30" customFormat="1" ht="14.25" spans="1:6">
      <c r="A91" s="32">
        <v>89</v>
      </c>
      <c r="B91" s="34" t="s">
        <v>183</v>
      </c>
      <c r="C91" s="32" t="s">
        <v>184</v>
      </c>
      <c r="D91" s="32">
        <v>30</v>
      </c>
      <c r="E91" s="32" t="s">
        <v>8</v>
      </c>
      <c r="F91" s="30" t="str">
        <f t="shared" si="2"/>
        <v>5KS286KWV205</v>
      </c>
    </row>
    <row r="92" s="30" customFormat="1" ht="14.25" spans="1:6">
      <c r="A92" s="32">
        <v>90</v>
      </c>
      <c r="B92" s="34" t="s">
        <v>185</v>
      </c>
      <c r="C92" s="32" t="s">
        <v>186</v>
      </c>
      <c r="D92" s="32">
        <v>30</v>
      </c>
      <c r="E92" s="32" t="s">
        <v>8</v>
      </c>
      <c r="F92" s="30" t="str">
        <f t="shared" si="2"/>
        <v>5KS286KWV203</v>
      </c>
    </row>
    <row r="93" s="30" customFormat="1" ht="14.25" spans="1:6">
      <c r="A93" s="32">
        <v>91</v>
      </c>
      <c r="B93" s="34" t="s">
        <v>187</v>
      </c>
      <c r="C93" s="32" t="s">
        <v>188</v>
      </c>
      <c r="D93" s="32">
        <v>30</v>
      </c>
      <c r="E93" s="32" t="s">
        <v>8</v>
      </c>
      <c r="F93" s="30" t="str">
        <f t="shared" si="2"/>
        <v>5KS286KWV209</v>
      </c>
    </row>
    <row r="94" s="30" customFormat="1" ht="14.25" spans="1:6">
      <c r="A94" s="32">
        <v>92</v>
      </c>
      <c r="B94" s="34" t="s">
        <v>189</v>
      </c>
      <c r="C94" s="32" t="s">
        <v>190</v>
      </c>
      <c r="D94" s="32">
        <v>1.5</v>
      </c>
      <c r="E94" s="32" t="s">
        <v>8</v>
      </c>
      <c r="F94" s="30" t="str">
        <f t="shared" si="2"/>
        <v>5KS182KWV305</v>
      </c>
    </row>
    <row r="95" s="30" customFormat="1" ht="14.25" spans="1:6">
      <c r="A95" s="32">
        <v>93</v>
      </c>
      <c r="B95" s="34" t="s">
        <v>191</v>
      </c>
      <c r="C95" s="32" t="s">
        <v>192</v>
      </c>
      <c r="D95" s="32">
        <v>5</v>
      </c>
      <c r="E95" s="32" t="s">
        <v>8</v>
      </c>
      <c r="F95" s="30" t="str">
        <f t="shared" si="2"/>
        <v>5KS215BWV305</v>
      </c>
    </row>
    <row r="96" s="30" customFormat="1" ht="14.25" spans="1:6">
      <c r="A96" s="32">
        <v>94</v>
      </c>
      <c r="B96" s="34" t="s">
        <v>193</v>
      </c>
      <c r="C96" s="32" t="s">
        <v>194</v>
      </c>
      <c r="D96" s="32">
        <v>1</v>
      </c>
      <c r="E96" s="32" t="s">
        <v>8</v>
      </c>
      <c r="F96" s="30" t="str">
        <f t="shared" si="2"/>
        <v>5KS143BWC120</v>
      </c>
    </row>
    <row r="97" s="30" customFormat="1" ht="14.25" spans="1:6">
      <c r="A97" s="32">
        <v>95</v>
      </c>
      <c r="B97" s="34" t="s">
        <v>195</v>
      </c>
      <c r="C97" s="32" t="s">
        <v>196</v>
      </c>
      <c r="D97" s="32">
        <v>1.5</v>
      </c>
      <c r="E97" s="32" t="s">
        <v>8</v>
      </c>
      <c r="F97" s="30" t="str">
        <f t="shared" si="2"/>
        <v>5KS143BWC105</v>
      </c>
    </row>
    <row r="98" s="30" customFormat="1" ht="14.25" spans="1:6">
      <c r="A98" s="32">
        <v>96</v>
      </c>
      <c r="B98" s="34" t="s">
        <v>197</v>
      </c>
      <c r="C98" s="32" t="s">
        <v>198</v>
      </c>
      <c r="D98" s="32">
        <v>2</v>
      </c>
      <c r="E98" s="32" t="s">
        <v>8</v>
      </c>
      <c r="F98" s="30" t="str">
        <f t="shared" si="2"/>
        <v>5KS145BWC105</v>
      </c>
    </row>
    <row r="99" s="30" customFormat="1" ht="14.25" spans="1:6">
      <c r="A99" s="32">
        <v>97</v>
      </c>
      <c r="B99" s="34" t="s">
        <v>199</v>
      </c>
      <c r="C99" s="32" t="s">
        <v>200</v>
      </c>
      <c r="D99" s="32">
        <v>3</v>
      </c>
      <c r="E99" s="32" t="s">
        <v>8</v>
      </c>
      <c r="F99" s="30" t="str">
        <f t="shared" si="2"/>
        <v>5KS182BWC105</v>
      </c>
    </row>
    <row r="100" s="30" customFormat="1" ht="14.25" spans="1:6">
      <c r="A100" s="32">
        <v>98</v>
      </c>
      <c r="B100" s="34" t="s">
        <v>201</v>
      </c>
      <c r="C100" s="32" t="s">
        <v>202</v>
      </c>
      <c r="D100" s="32">
        <v>5</v>
      </c>
      <c r="E100" s="32" t="s">
        <v>8</v>
      </c>
      <c r="F100" s="30" t="str">
        <f t="shared" ref="F100:F131" si="3">LEFT(C100,12)</f>
        <v>5KS184BWC105</v>
      </c>
    </row>
    <row r="101" s="30" customFormat="1" ht="14.25" spans="1:6">
      <c r="A101" s="32">
        <v>99</v>
      </c>
      <c r="B101" s="34" t="s">
        <v>203</v>
      </c>
      <c r="C101" s="32" t="s">
        <v>204</v>
      </c>
      <c r="D101" s="32">
        <v>7.5</v>
      </c>
      <c r="E101" s="32" t="s">
        <v>8</v>
      </c>
      <c r="F101" s="30" t="str">
        <f t="shared" si="3"/>
        <v>5KS213BWC105</v>
      </c>
    </row>
    <row r="102" s="30" customFormat="1" ht="14.25" spans="1:6">
      <c r="A102" s="32">
        <v>100</v>
      </c>
      <c r="B102" s="34" t="s">
        <v>205</v>
      </c>
      <c r="C102" s="32" t="s">
        <v>206</v>
      </c>
      <c r="D102" s="32">
        <v>10</v>
      </c>
      <c r="E102" s="32" t="s">
        <v>8</v>
      </c>
      <c r="F102" s="30" t="str">
        <f t="shared" si="3"/>
        <v>5KS215BWC105</v>
      </c>
    </row>
    <row r="103" s="31" customFormat="1" ht="14.25" spans="1:6">
      <c r="A103" s="32">
        <v>101</v>
      </c>
      <c r="B103" s="34" t="s">
        <v>207</v>
      </c>
      <c r="C103" s="32" t="s">
        <v>208</v>
      </c>
      <c r="D103" s="32">
        <v>10</v>
      </c>
      <c r="E103" s="32" t="s">
        <v>8</v>
      </c>
      <c r="F103" s="30" t="str">
        <f t="shared" si="3"/>
        <v>5KS215KWC120</v>
      </c>
    </row>
    <row r="104" s="30" customFormat="1" ht="14.25" spans="1:6">
      <c r="A104" s="32">
        <v>102</v>
      </c>
      <c r="B104" s="34" t="s">
        <v>209</v>
      </c>
      <c r="C104" s="32" t="s">
        <v>210</v>
      </c>
      <c r="D104" s="32">
        <v>15</v>
      </c>
      <c r="E104" s="32" t="s">
        <v>8</v>
      </c>
      <c r="F104" s="30" t="str">
        <f t="shared" si="3"/>
        <v>5KS254BWC105</v>
      </c>
    </row>
    <row r="105" s="30" customFormat="1" ht="14.25" spans="1:6">
      <c r="A105" s="32">
        <v>103</v>
      </c>
      <c r="B105" s="34" t="s">
        <v>211</v>
      </c>
      <c r="C105" s="32" t="s">
        <v>212</v>
      </c>
      <c r="D105" s="32">
        <v>15</v>
      </c>
      <c r="E105" s="32" t="s">
        <v>8</v>
      </c>
      <c r="F105" s="30" t="str">
        <f t="shared" si="3"/>
        <v>5KS254KWC120</v>
      </c>
    </row>
    <row r="106" s="30" customFormat="1" ht="14.25" spans="1:6">
      <c r="A106" s="32">
        <v>104</v>
      </c>
      <c r="B106" s="34" t="s">
        <v>213</v>
      </c>
      <c r="C106" s="32" t="s">
        <v>214</v>
      </c>
      <c r="D106" s="32">
        <v>20</v>
      </c>
      <c r="E106" s="32" t="s">
        <v>8</v>
      </c>
      <c r="F106" s="30" t="str">
        <f t="shared" si="3"/>
        <v>5KS256BWC105</v>
      </c>
    </row>
    <row r="107" s="30" customFormat="1" ht="14.25" spans="1:6">
      <c r="A107" s="32">
        <v>105</v>
      </c>
      <c r="B107" s="34" t="s">
        <v>215</v>
      </c>
      <c r="C107" s="32" t="s">
        <v>216</v>
      </c>
      <c r="D107" s="32">
        <v>20</v>
      </c>
      <c r="E107" s="32" t="s">
        <v>8</v>
      </c>
      <c r="F107" s="30" t="str">
        <f t="shared" si="3"/>
        <v>5KS256KWC105</v>
      </c>
    </row>
    <row r="108" s="30" customFormat="1" ht="14.25" spans="1:6">
      <c r="A108" s="32">
        <v>106</v>
      </c>
      <c r="B108" s="34" t="s">
        <v>217</v>
      </c>
      <c r="C108" s="32" t="s">
        <v>218</v>
      </c>
      <c r="D108" s="32">
        <v>25</v>
      </c>
      <c r="E108" s="32" t="s">
        <v>8</v>
      </c>
      <c r="F108" s="30" t="str">
        <f t="shared" si="3"/>
        <v>5KS284BWC115</v>
      </c>
    </row>
    <row r="109" s="30" customFormat="1" ht="14.25" spans="1:6">
      <c r="A109" s="32">
        <v>107</v>
      </c>
      <c r="B109" s="34" t="s">
        <v>219</v>
      </c>
      <c r="C109" s="32" t="s">
        <v>220</v>
      </c>
      <c r="D109" s="32">
        <v>30</v>
      </c>
      <c r="E109" s="32" t="s">
        <v>8</v>
      </c>
      <c r="F109" s="30" t="str">
        <f t="shared" si="3"/>
        <v>5KS286BWC115</v>
      </c>
    </row>
    <row r="110" s="30" customFormat="1" ht="14.25" spans="1:6">
      <c r="A110" s="32">
        <v>108</v>
      </c>
      <c r="B110" s="34" t="s">
        <v>221</v>
      </c>
      <c r="C110" s="32" t="s">
        <v>222</v>
      </c>
      <c r="D110" s="32">
        <v>40</v>
      </c>
      <c r="E110" s="32" t="s">
        <v>8</v>
      </c>
      <c r="F110" s="30" t="str">
        <f t="shared" si="3"/>
        <v>5KS324BWC115</v>
      </c>
    </row>
    <row r="111" s="30" customFormat="1" ht="14.25" spans="1:6">
      <c r="A111" s="32">
        <v>109</v>
      </c>
      <c r="B111" s="34" t="s">
        <v>223</v>
      </c>
      <c r="C111" s="32" t="s">
        <v>224</v>
      </c>
      <c r="D111" s="32">
        <v>40</v>
      </c>
      <c r="E111" s="32" t="s">
        <v>8</v>
      </c>
      <c r="F111" s="30" t="str">
        <f t="shared" si="3"/>
        <v>5KS324KWC115</v>
      </c>
    </row>
    <row r="112" s="30" customFormat="1" ht="14.25" spans="1:6">
      <c r="A112" s="32">
        <v>110</v>
      </c>
      <c r="B112" s="34" t="s">
        <v>225</v>
      </c>
      <c r="C112" s="32" t="s">
        <v>226</v>
      </c>
      <c r="D112" s="32">
        <v>40</v>
      </c>
      <c r="E112" s="32" t="s">
        <v>8</v>
      </c>
      <c r="F112" s="30" t="str">
        <f t="shared" si="3"/>
        <v>5KS324KWC113</v>
      </c>
    </row>
    <row r="113" s="30" customFormat="1" ht="14.25" spans="1:6">
      <c r="A113" s="32">
        <v>111</v>
      </c>
      <c r="B113" s="34" t="s">
        <v>227</v>
      </c>
      <c r="C113" s="32" t="s">
        <v>228</v>
      </c>
      <c r="D113" s="32">
        <v>40</v>
      </c>
      <c r="E113" s="32" t="s">
        <v>8</v>
      </c>
      <c r="F113" s="30" t="str">
        <f t="shared" si="3"/>
        <v>5KS324KWC119</v>
      </c>
    </row>
    <row r="114" s="30" customFormat="1" ht="14.25" spans="1:6">
      <c r="A114" s="32">
        <v>112</v>
      </c>
      <c r="B114" s="34" t="s">
        <v>229</v>
      </c>
      <c r="C114" s="32" t="s">
        <v>230</v>
      </c>
      <c r="D114" s="32">
        <v>50</v>
      </c>
      <c r="E114" s="32" t="s">
        <v>8</v>
      </c>
      <c r="F114" s="30" t="str">
        <f t="shared" si="3"/>
        <v>5KS326BWC115</v>
      </c>
    </row>
    <row r="115" s="30" customFormat="1" ht="14.25" spans="1:6">
      <c r="A115" s="32">
        <v>113</v>
      </c>
      <c r="B115" s="34" t="s">
        <v>231</v>
      </c>
      <c r="C115" s="32" t="s">
        <v>232</v>
      </c>
      <c r="D115" s="32">
        <v>50</v>
      </c>
      <c r="E115" s="32" t="s">
        <v>8</v>
      </c>
      <c r="F115" s="30" t="str">
        <f t="shared" si="3"/>
        <v>5KS326KWC115</v>
      </c>
    </row>
    <row r="116" s="30" customFormat="1" ht="14.25" spans="1:6">
      <c r="A116" s="32">
        <v>114</v>
      </c>
      <c r="B116" s="34" t="s">
        <v>233</v>
      </c>
      <c r="C116" s="32" t="s">
        <v>234</v>
      </c>
      <c r="D116" s="32">
        <v>50</v>
      </c>
      <c r="E116" s="32" t="s">
        <v>8</v>
      </c>
      <c r="F116" s="30" t="str">
        <f t="shared" si="3"/>
        <v>5KS326KWC113</v>
      </c>
    </row>
    <row r="117" s="30" customFormat="1" ht="14.25" spans="1:6">
      <c r="A117" s="32">
        <v>115</v>
      </c>
      <c r="B117" s="34" t="s">
        <v>235</v>
      </c>
      <c r="C117" s="32" t="s">
        <v>236</v>
      </c>
      <c r="D117" s="32">
        <v>50</v>
      </c>
      <c r="E117" s="32" t="s">
        <v>8</v>
      </c>
      <c r="F117" s="30" t="str">
        <f t="shared" si="3"/>
        <v>5KS326KWC119</v>
      </c>
    </row>
    <row r="118" s="30" customFormat="1" ht="14.25" spans="1:6">
      <c r="A118" s="32">
        <v>116</v>
      </c>
      <c r="B118" s="34" t="s">
        <v>237</v>
      </c>
      <c r="C118" s="32" t="s">
        <v>238</v>
      </c>
      <c r="D118" s="32">
        <v>60</v>
      </c>
      <c r="E118" s="32" t="s">
        <v>8</v>
      </c>
      <c r="F118" s="30" t="str">
        <f t="shared" si="3"/>
        <v>5KS364BWC115</v>
      </c>
    </row>
    <row r="119" s="30" customFormat="1" ht="14.25" spans="1:6">
      <c r="A119" s="32">
        <v>117</v>
      </c>
      <c r="B119" s="34" t="s">
        <v>239</v>
      </c>
      <c r="C119" s="32" t="s">
        <v>240</v>
      </c>
      <c r="D119" s="32">
        <v>60</v>
      </c>
      <c r="E119" s="32" t="s">
        <v>8</v>
      </c>
      <c r="F119" s="30" t="str">
        <f t="shared" si="3"/>
        <v>5KS364KWC115</v>
      </c>
    </row>
    <row r="120" s="30" customFormat="1" ht="14.25" spans="1:6">
      <c r="A120" s="32">
        <v>118</v>
      </c>
      <c r="B120" s="34" t="s">
        <v>241</v>
      </c>
      <c r="C120" s="32" t="s">
        <v>242</v>
      </c>
      <c r="D120" s="32">
        <v>60</v>
      </c>
      <c r="E120" s="32" t="s">
        <v>8</v>
      </c>
      <c r="F120" s="30" t="str">
        <f t="shared" si="3"/>
        <v>5KS364KWC113</v>
      </c>
    </row>
    <row r="121" s="30" customFormat="1" ht="14.25" spans="1:6">
      <c r="A121" s="32">
        <v>119</v>
      </c>
      <c r="B121" s="34" t="s">
        <v>243</v>
      </c>
      <c r="C121" s="32" t="s">
        <v>244</v>
      </c>
      <c r="D121" s="32">
        <v>60</v>
      </c>
      <c r="E121" s="32" t="s">
        <v>8</v>
      </c>
      <c r="F121" s="30" t="str">
        <f t="shared" si="3"/>
        <v>5KS364KWC119</v>
      </c>
    </row>
    <row r="122" s="30" customFormat="1" ht="14.25" spans="1:6">
      <c r="A122" s="32">
        <v>120</v>
      </c>
      <c r="B122" s="34" t="s">
        <v>245</v>
      </c>
      <c r="C122" s="32" t="s">
        <v>246</v>
      </c>
      <c r="D122" s="32">
        <v>75</v>
      </c>
      <c r="E122" s="32" t="s">
        <v>8</v>
      </c>
      <c r="F122" s="30" t="str">
        <f t="shared" si="3"/>
        <v>5KS365BWC115</v>
      </c>
    </row>
    <row r="123" s="30" customFormat="1" ht="14.25" spans="1:6">
      <c r="A123" s="32">
        <v>121</v>
      </c>
      <c r="B123" s="34" t="s">
        <v>247</v>
      </c>
      <c r="C123" s="32" t="s">
        <v>248</v>
      </c>
      <c r="D123" s="32">
        <v>75</v>
      </c>
      <c r="E123" s="32" t="s">
        <v>8</v>
      </c>
      <c r="F123" s="30" t="str">
        <f t="shared" si="3"/>
        <v>5KS365KWC113</v>
      </c>
    </row>
    <row r="124" s="30" customFormat="1" ht="14.25" spans="1:6">
      <c r="A124" s="32">
        <v>122</v>
      </c>
      <c r="B124" s="34" t="s">
        <v>249</v>
      </c>
      <c r="C124" s="32" t="s">
        <v>250</v>
      </c>
      <c r="D124" s="32">
        <v>75</v>
      </c>
      <c r="E124" s="32" t="s">
        <v>8</v>
      </c>
      <c r="F124" s="30" t="str">
        <f t="shared" si="3"/>
        <v>5KS365KWC119</v>
      </c>
    </row>
    <row r="125" s="30" customFormat="1" ht="14.25" spans="1:6">
      <c r="A125" s="32">
        <v>123</v>
      </c>
      <c r="B125" s="34" t="s">
        <v>251</v>
      </c>
      <c r="C125" s="32" t="s">
        <v>252</v>
      </c>
      <c r="D125" s="32">
        <v>100</v>
      </c>
      <c r="E125" s="32" t="s">
        <v>8</v>
      </c>
      <c r="F125" s="30" t="str">
        <f t="shared" si="3"/>
        <v>5KS405BWC115</v>
      </c>
    </row>
    <row r="126" s="30" customFormat="1" ht="14.25" spans="1:6">
      <c r="A126" s="32">
        <v>124</v>
      </c>
      <c r="B126" s="34" t="s">
        <v>253</v>
      </c>
      <c r="C126" s="32" t="s">
        <v>254</v>
      </c>
      <c r="D126" s="32">
        <v>125</v>
      </c>
      <c r="E126" s="32" t="s">
        <v>255</v>
      </c>
      <c r="F126" s="30" t="str">
        <f t="shared" si="3"/>
        <v>5KS444BWC118</v>
      </c>
    </row>
    <row r="127" s="30" customFormat="1" ht="14.25" spans="1:6">
      <c r="A127" s="32">
        <v>125</v>
      </c>
      <c r="B127" s="34" t="s">
        <v>256</v>
      </c>
      <c r="C127" s="32" t="s">
        <v>257</v>
      </c>
      <c r="D127" s="32">
        <v>150</v>
      </c>
      <c r="E127" s="32" t="s">
        <v>255</v>
      </c>
      <c r="F127" s="30" t="str">
        <f t="shared" si="3"/>
        <v>5KS445BWC118</v>
      </c>
    </row>
    <row r="128" s="30" customFormat="1" ht="14.25" spans="1:6">
      <c r="A128" s="32">
        <v>126</v>
      </c>
      <c r="B128" s="34" t="s">
        <v>258</v>
      </c>
      <c r="C128" s="32" t="s">
        <v>259</v>
      </c>
      <c r="D128" s="32">
        <v>200</v>
      </c>
      <c r="E128" s="32" t="s">
        <v>255</v>
      </c>
      <c r="F128" s="30" t="str">
        <f t="shared" si="3"/>
        <v>5KS447BWC118</v>
      </c>
    </row>
    <row r="129" s="30" customFormat="1" ht="14.25" spans="1:6">
      <c r="A129" s="32">
        <v>127</v>
      </c>
      <c r="B129" s="34" t="s">
        <v>260</v>
      </c>
      <c r="C129" s="32" t="s">
        <v>261</v>
      </c>
      <c r="D129" s="32">
        <v>1</v>
      </c>
      <c r="E129" s="32" t="s">
        <v>8</v>
      </c>
      <c r="F129" s="30" t="str">
        <f t="shared" si="3"/>
        <v>5KS143BWC205</v>
      </c>
    </row>
    <row r="130" s="30" customFormat="1" ht="14.25" spans="1:6">
      <c r="A130" s="32">
        <v>128</v>
      </c>
      <c r="B130" s="34" t="s">
        <v>262</v>
      </c>
      <c r="C130" s="32" t="s">
        <v>263</v>
      </c>
      <c r="D130" s="32">
        <v>1</v>
      </c>
      <c r="E130" s="32" t="s">
        <v>8</v>
      </c>
      <c r="F130" s="30" t="str">
        <f t="shared" si="3"/>
        <v>5KS143KWC205</v>
      </c>
    </row>
    <row r="131" s="30" customFormat="1" ht="14.25" spans="1:6">
      <c r="A131" s="32">
        <v>129</v>
      </c>
      <c r="B131" s="34" t="s">
        <v>264</v>
      </c>
      <c r="C131" s="32" t="s">
        <v>265</v>
      </c>
      <c r="D131" s="32">
        <v>1.5</v>
      </c>
      <c r="E131" s="32" t="s">
        <v>8</v>
      </c>
      <c r="F131" s="30" t="str">
        <f t="shared" si="3"/>
        <v>5KS145BWC205</v>
      </c>
    </row>
    <row r="132" s="30" customFormat="1" ht="14.25" spans="1:6">
      <c r="A132" s="32">
        <v>130</v>
      </c>
      <c r="B132" s="34" t="s">
        <v>266</v>
      </c>
      <c r="C132" s="32" t="s">
        <v>267</v>
      </c>
      <c r="D132" s="32">
        <v>2</v>
      </c>
      <c r="E132" s="32" t="s">
        <v>8</v>
      </c>
      <c r="F132" s="30" t="str">
        <f t="shared" ref="F132:F177" si="4">LEFT(C132,12)</f>
        <v>5KS145BWC220</v>
      </c>
    </row>
    <row r="133" s="30" customFormat="1" ht="14.25" spans="1:6">
      <c r="A133" s="32">
        <v>131</v>
      </c>
      <c r="B133" s="34" t="s">
        <v>268</v>
      </c>
      <c r="C133" s="32" t="s">
        <v>269</v>
      </c>
      <c r="D133" s="32">
        <v>2</v>
      </c>
      <c r="E133" s="32" t="s">
        <v>8</v>
      </c>
      <c r="F133" s="30" t="str">
        <f t="shared" si="4"/>
        <v>5KS145KWC220</v>
      </c>
    </row>
    <row r="134" s="30" customFormat="1" ht="14.25" spans="1:6">
      <c r="A134" s="32">
        <v>132</v>
      </c>
      <c r="B134" s="34" t="s">
        <v>270</v>
      </c>
      <c r="C134" s="32" t="s">
        <v>271</v>
      </c>
      <c r="D134" s="32">
        <v>2</v>
      </c>
      <c r="E134" s="32" t="s">
        <v>8</v>
      </c>
      <c r="F134" s="30" t="str">
        <f t="shared" si="4"/>
        <v>5KS145KWC221</v>
      </c>
    </row>
    <row r="135" s="30" customFormat="1" ht="14.25" spans="1:6">
      <c r="A135" s="32">
        <v>133</v>
      </c>
      <c r="B135" s="34" t="s">
        <v>272</v>
      </c>
      <c r="C135" s="32" t="s">
        <v>273</v>
      </c>
      <c r="D135" s="32">
        <v>3</v>
      </c>
      <c r="E135" s="32" t="s">
        <v>8</v>
      </c>
      <c r="F135" s="30" t="str">
        <f t="shared" si="4"/>
        <v>5KS182BWC205</v>
      </c>
    </row>
    <row r="136" s="30" customFormat="1" ht="14.25" spans="1:6">
      <c r="A136" s="32">
        <v>134</v>
      </c>
      <c r="B136" s="34" t="s">
        <v>274</v>
      </c>
      <c r="C136" s="32" t="s">
        <v>275</v>
      </c>
      <c r="D136" s="32">
        <v>3</v>
      </c>
      <c r="E136" s="32" t="s">
        <v>8</v>
      </c>
      <c r="F136" s="30" t="str">
        <f t="shared" si="4"/>
        <v>5KS182KWC205</v>
      </c>
    </row>
    <row r="137" s="30" customFormat="1" ht="14.25" spans="1:6">
      <c r="A137" s="32">
        <v>135</v>
      </c>
      <c r="B137" s="34" t="s">
        <v>276</v>
      </c>
      <c r="C137" s="32" t="s">
        <v>277</v>
      </c>
      <c r="D137" s="32">
        <v>5</v>
      </c>
      <c r="E137" s="32" t="s">
        <v>8</v>
      </c>
      <c r="F137" s="30" t="str">
        <f t="shared" si="4"/>
        <v>5KS184BWC205</v>
      </c>
    </row>
    <row r="138" s="30" customFormat="1" ht="14.25" spans="1:6">
      <c r="A138" s="32">
        <v>136</v>
      </c>
      <c r="B138" s="34" t="s">
        <v>278</v>
      </c>
      <c r="C138" s="32" t="s">
        <v>279</v>
      </c>
      <c r="D138" s="32">
        <v>5</v>
      </c>
      <c r="E138" s="32" t="s">
        <v>8</v>
      </c>
      <c r="F138" s="30" t="str">
        <f t="shared" si="4"/>
        <v>5KS184KWC205</v>
      </c>
    </row>
    <row r="139" s="30" customFormat="1" ht="14.25" spans="1:6">
      <c r="A139" s="32">
        <v>137</v>
      </c>
      <c r="B139" s="34" t="s">
        <v>280</v>
      </c>
      <c r="C139" s="32" t="s">
        <v>281</v>
      </c>
      <c r="D139" s="32">
        <v>7.5</v>
      </c>
      <c r="E139" s="32" t="s">
        <v>8</v>
      </c>
      <c r="F139" s="30" t="str">
        <f t="shared" si="4"/>
        <v>5KS213BWC205</v>
      </c>
    </row>
    <row r="140" s="30" customFormat="1" ht="14.25" spans="1:6">
      <c r="A140" s="32">
        <v>138</v>
      </c>
      <c r="B140" s="34" t="s">
        <v>282</v>
      </c>
      <c r="C140" s="32" t="s">
        <v>283</v>
      </c>
      <c r="D140" s="32">
        <v>7.5</v>
      </c>
      <c r="E140" s="32" t="s">
        <v>8</v>
      </c>
      <c r="F140" s="30" t="str">
        <f t="shared" si="4"/>
        <v>5KS213KWC205</v>
      </c>
    </row>
    <row r="141" s="30" customFormat="1" ht="14.25" spans="1:6">
      <c r="A141" s="32">
        <v>139</v>
      </c>
      <c r="B141" s="34" t="s">
        <v>284</v>
      </c>
      <c r="C141" s="32" t="s">
        <v>285</v>
      </c>
      <c r="D141" s="32">
        <v>7.5</v>
      </c>
      <c r="E141" s="32" t="s">
        <v>8</v>
      </c>
      <c r="F141" s="30" t="str">
        <f t="shared" si="4"/>
        <v>5KS213KWC223</v>
      </c>
    </row>
    <row r="142" s="30" customFormat="1" ht="14.25" spans="1:6">
      <c r="A142" s="32">
        <v>140</v>
      </c>
      <c r="B142" s="34" t="s">
        <v>286</v>
      </c>
      <c r="C142" s="32" t="s">
        <v>287</v>
      </c>
      <c r="D142" s="32">
        <v>10</v>
      </c>
      <c r="E142" s="32" t="s">
        <v>8</v>
      </c>
      <c r="F142" s="30" t="str">
        <f t="shared" si="4"/>
        <v>5KS215BWC205</v>
      </c>
    </row>
    <row r="143" s="30" customFormat="1" ht="14.25" spans="1:6">
      <c r="A143" s="32">
        <v>141</v>
      </c>
      <c r="B143" s="34" t="s">
        <v>288</v>
      </c>
      <c r="C143" s="32" t="s">
        <v>289</v>
      </c>
      <c r="D143" s="32">
        <v>10</v>
      </c>
      <c r="E143" s="32" t="s">
        <v>8</v>
      </c>
      <c r="F143" s="30" t="str">
        <f t="shared" si="4"/>
        <v>5KS215KWC205</v>
      </c>
    </row>
    <row r="144" s="30" customFormat="1" ht="14.25" spans="1:6">
      <c r="A144" s="32">
        <v>142</v>
      </c>
      <c r="B144" s="34" t="s">
        <v>290</v>
      </c>
      <c r="C144" s="32" t="s">
        <v>291</v>
      </c>
      <c r="D144" s="32">
        <v>15</v>
      </c>
      <c r="E144" s="32" t="s">
        <v>8</v>
      </c>
      <c r="F144" s="30" t="str">
        <f t="shared" si="4"/>
        <v>5KS254BWC205</v>
      </c>
    </row>
    <row r="145" s="30" customFormat="1" ht="14.25" spans="1:6">
      <c r="A145" s="32">
        <v>143</v>
      </c>
      <c r="B145" s="34" t="s">
        <v>292</v>
      </c>
      <c r="C145" s="32" t="s">
        <v>293</v>
      </c>
      <c r="D145" s="32">
        <v>15</v>
      </c>
      <c r="E145" s="32" t="s">
        <v>8</v>
      </c>
      <c r="F145" s="30" t="str">
        <f t="shared" si="4"/>
        <v>5KS254KWC205</v>
      </c>
    </row>
    <row r="146" s="30" customFormat="1" ht="14.25" spans="1:6">
      <c r="A146" s="32">
        <v>144</v>
      </c>
      <c r="B146" s="34" t="s">
        <v>294</v>
      </c>
      <c r="C146" s="32" t="s">
        <v>295</v>
      </c>
      <c r="D146" s="32">
        <v>20</v>
      </c>
      <c r="E146" s="32" t="s">
        <v>8</v>
      </c>
      <c r="F146" s="30" t="str">
        <f t="shared" si="4"/>
        <v>5KS256BWC205</v>
      </c>
    </row>
    <row r="147" s="30" customFormat="1" ht="14.25" spans="1:6">
      <c r="A147" s="32">
        <v>145</v>
      </c>
      <c r="B147" s="34" t="s">
        <v>296</v>
      </c>
      <c r="C147" s="32" t="s">
        <v>297</v>
      </c>
      <c r="D147" s="32">
        <v>20</v>
      </c>
      <c r="E147" s="32" t="s">
        <v>8</v>
      </c>
      <c r="F147" s="30" t="str">
        <f t="shared" si="4"/>
        <v>5KS256KWC205</v>
      </c>
    </row>
    <row r="148" s="30" customFormat="1" ht="14.25" spans="1:6">
      <c r="A148" s="32">
        <v>146</v>
      </c>
      <c r="B148" s="34" t="s">
        <v>298</v>
      </c>
      <c r="C148" s="32" t="s">
        <v>299</v>
      </c>
      <c r="D148" s="32">
        <v>25</v>
      </c>
      <c r="E148" s="32" t="s">
        <v>8</v>
      </c>
      <c r="F148" s="30" t="str">
        <f t="shared" si="4"/>
        <v>5KS284BWC205</v>
      </c>
    </row>
    <row r="149" s="30" customFormat="1" ht="14.25" spans="1:6">
      <c r="A149" s="32">
        <v>147</v>
      </c>
      <c r="B149" s="34" t="s">
        <v>300</v>
      </c>
      <c r="C149" s="32" t="s">
        <v>301</v>
      </c>
      <c r="D149" s="32">
        <v>25</v>
      </c>
      <c r="E149" s="32" t="s">
        <v>8</v>
      </c>
      <c r="F149" s="30" t="str">
        <f t="shared" si="4"/>
        <v>5KS284KWC205</v>
      </c>
    </row>
    <row r="150" s="30" customFormat="1" ht="14.25" spans="1:6">
      <c r="A150" s="32">
        <v>148</v>
      </c>
      <c r="B150" s="34" t="s">
        <v>302</v>
      </c>
      <c r="C150" s="32" t="s">
        <v>303</v>
      </c>
      <c r="D150" s="32">
        <v>30</v>
      </c>
      <c r="E150" s="32" t="s">
        <v>8</v>
      </c>
      <c r="F150" s="30" t="str">
        <f t="shared" si="4"/>
        <v>5KS286BWC205</v>
      </c>
    </row>
    <row r="151" s="30" customFormat="1" ht="14.25" spans="1:6">
      <c r="A151" s="32">
        <v>149</v>
      </c>
      <c r="B151" s="34" t="s">
        <v>304</v>
      </c>
      <c r="C151" s="32" t="s">
        <v>305</v>
      </c>
      <c r="D151" s="32">
        <v>30</v>
      </c>
      <c r="E151" s="32" t="s">
        <v>8</v>
      </c>
      <c r="F151" s="30" t="str">
        <f t="shared" si="4"/>
        <v>5KS286KWC205</v>
      </c>
    </row>
    <row r="152" s="30" customFormat="1" ht="14.25" spans="1:6">
      <c r="A152" s="32">
        <v>150</v>
      </c>
      <c r="B152" s="34" t="s">
        <v>306</v>
      </c>
      <c r="C152" s="32" t="s">
        <v>307</v>
      </c>
      <c r="D152" s="32">
        <v>40</v>
      </c>
      <c r="E152" s="32" t="s">
        <v>8</v>
      </c>
      <c r="F152" s="30" t="str">
        <f t="shared" si="4"/>
        <v>5KS324BWC205</v>
      </c>
    </row>
    <row r="153" s="30" customFormat="1" ht="14.25" spans="1:6">
      <c r="A153" s="32">
        <v>151</v>
      </c>
      <c r="B153" s="34" t="s">
        <v>308</v>
      </c>
      <c r="C153" s="32" t="s">
        <v>309</v>
      </c>
      <c r="D153" s="32">
        <v>40</v>
      </c>
      <c r="E153" s="32" t="s">
        <v>8</v>
      </c>
      <c r="F153" s="30" t="str">
        <f t="shared" si="4"/>
        <v>5KS324KWC205</v>
      </c>
    </row>
    <row r="154" s="30" customFormat="1" ht="14.25" spans="1:6">
      <c r="A154" s="32">
        <v>152</v>
      </c>
      <c r="B154" s="34" t="s">
        <v>310</v>
      </c>
      <c r="C154" s="32" t="s">
        <v>311</v>
      </c>
      <c r="D154" s="32">
        <v>40</v>
      </c>
      <c r="E154" s="32" t="s">
        <v>8</v>
      </c>
      <c r="F154" s="30" t="str">
        <f t="shared" si="4"/>
        <v>5KS324KWC203</v>
      </c>
    </row>
    <row r="155" s="30" customFormat="1" ht="14.25" spans="1:6">
      <c r="A155" s="32">
        <v>153</v>
      </c>
      <c r="B155" s="34" t="s">
        <v>312</v>
      </c>
      <c r="C155" s="32" t="s">
        <v>313</v>
      </c>
      <c r="D155" s="32">
        <v>40</v>
      </c>
      <c r="E155" s="32" t="s">
        <v>8</v>
      </c>
      <c r="F155" s="30" t="str">
        <f t="shared" si="4"/>
        <v>5KS324KWC209</v>
      </c>
    </row>
    <row r="156" s="30" customFormat="1" ht="14.25" spans="1:6">
      <c r="A156" s="32">
        <v>154</v>
      </c>
      <c r="B156" s="34" t="s">
        <v>314</v>
      </c>
      <c r="C156" s="32" t="s">
        <v>315</v>
      </c>
      <c r="D156" s="32">
        <v>50</v>
      </c>
      <c r="E156" s="32" t="s">
        <v>8</v>
      </c>
      <c r="F156" s="30" t="str">
        <f t="shared" si="4"/>
        <v>5KS326BWC205</v>
      </c>
    </row>
    <row r="157" s="30" customFormat="1" ht="14.25" spans="1:6">
      <c r="A157" s="32">
        <v>155</v>
      </c>
      <c r="B157" s="34" t="s">
        <v>316</v>
      </c>
      <c r="C157" s="32" t="s">
        <v>317</v>
      </c>
      <c r="D157" s="32">
        <v>50</v>
      </c>
      <c r="E157" s="32" t="s">
        <v>8</v>
      </c>
      <c r="F157" s="30" t="str">
        <f t="shared" si="4"/>
        <v>5KS326KWC205</v>
      </c>
    </row>
    <row r="158" s="30" customFormat="1" ht="14.25" spans="1:6">
      <c r="A158" s="32">
        <v>156</v>
      </c>
      <c r="B158" s="34" t="s">
        <v>318</v>
      </c>
      <c r="C158" s="32" t="s">
        <v>319</v>
      </c>
      <c r="D158" s="32">
        <v>50</v>
      </c>
      <c r="E158" s="32" t="s">
        <v>8</v>
      </c>
      <c r="F158" s="30" t="str">
        <f t="shared" si="4"/>
        <v>5KS326KWC203</v>
      </c>
    </row>
    <row r="159" s="30" customFormat="1" ht="14.25" spans="1:6">
      <c r="A159" s="32">
        <v>157</v>
      </c>
      <c r="B159" s="34" t="s">
        <v>320</v>
      </c>
      <c r="C159" s="32" t="s">
        <v>321</v>
      </c>
      <c r="D159" s="32">
        <v>50</v>
      </c>
      <c r="E159" s="32" t="s">
        <v>8</v>
      </c>
      <c r="F159" s="30" t="str">
        <f t="shared" si="4"/>
        <v>5KS326KWC209</v>
      </c>
    </row>
    <row r="160" s="30" customFormat="1" ht="14.25" spans="1:6">
      <c r="A160" s="32">
        <v>158</v>
      </c>
      <c r="B160" s="34" t="s">
        <v>322</v>
      </c>
      <c r="C160" s="32" t="s">
        <v>323</v>
      </c>
      <c r="D160" s="32">
        <v>60</v>
      </c>
      <c r="E160" s="32" t="s">
        <v>8</v>
      </c>
      <c r="F160" s="30" t="str">
        <f t="shared" si="4"/>
        <v>5KS364BWC205</v>
      </c>
    </row>
    <row r="161" s="30" customFormat="1" ht="14.25" spans="1:6">
      <c r="A161" s="32">
        <v>159</v>
      </c>
      <c r="B161" s="34" t="s">
        <v>324</v>
      </c>
      <c r="C161" s="32" t="s">
        <v>325</v>
      </c>
      <c r="D161" s="32">
        <v>60</v>
      </c>
      <c r="E161" s="32" t="s">
        <v>8</v>
      </c>
      <c r="F161" s="30" t="str">
        <f t="shared" si="4"/>
        <v>5KS364KWC205</v>
      </c>
    </row>
    <row r="162" s="30" customFormat="1" ht="14.25" spans="1:6">
      <c r="A162" s="32">
        <v>160</v>
      </c>
      <c r="B162" s="34" t="s">
        <v>326</v>
      </c>
      <c r="C162" s="32" t="s">
        <v>327</v>
      </c>
      <c r="D162" s="32">
        <v>60</v>
      </c>
      <c r="E162" s="32" t="s">
        <v>8</v>
      </c>
      <c r="F162" s="30" t="str">
        <f t="shared" si="4"/>
        <v>5KS364KWC203</v>
      </c>
    </row>
    <row r="163" s="30" customFormat="1" ht="14.25" spans="1:6">
      <c r="A163" s="32">
        <v>161</v>
      </c>
      <c r="B163" s="34" t="s">
        <v>328</v>
      </c>
      <c r="C163" s="32" t="s">
        <v>329</v>
      </c>
      <c r="D163" s="32">
        <v>60</v>
      </c>
      <c r="E163" s="32" t="s">
        <v>8</v>
      </c>
      <c r="F163" s="30" t="str">
        <f t="shared" si="4"/>
        <v>5KS364KWC209</v>
      </c>
    </row>
    <row r="164" s="30" customFormat="1" ht="14.25" spans="1:6">
      <c r="A164" s="32">
        <v>162</v>
      </c>
      <c r="B164" s="34" t="s">
        <v>330</v>
      </c>
      <c r="C164" s="32" t="s">
        <v>331</v>
      </c>
      <c r="D164" s="32">
        <v>75</v>
      </c>
      <c r="E164" s="32" t="s">
        <v>8</v>
      </c>
      <c r="F164" s="30" t="str">
        <f t="shared" si="4"/>
        <v>5KS365BWC205</v>
      </c>
    </row>
    <row r="165" s="30" customFormat="1" ht="14.25" spans="1:6">
      <c r="A165" s="32">
        <v>163</v>
      </c>
      <c r="B165" s="34" t="s">
        <v>332</v>
      </c>
      <c r="C165" s="32" t="s">
        <v>333</v>
      </c>
      <c r="D165" s="32">
        <v>75</v>
      </c>
      <c r="E165" s="32" t="s">
        <v>8</v>
      </c>
      <c r="F165" s="30" t="str">
        <f t="shared" si="4"/>
        <v>5KS365KWC205</v>
      </c>
    </row>
    <row r="166" s="30" customFormat="1" ht="14.25" spans="1:6">
      <c r="A166" s="32">
        <v>164</v>
      </c>
      <c r="B166" s="34" t="s">
        <v>334</v>
      </c>
      <c r="C166" s="32" t="s">
        <v>335</v>
      </c>
      <c r="D166" s="32">
        <v>75</v>
      </c>
      <c r="E166" s="32" t="s">
        <v>8</v>
      </c>
      <c r="F166" s="30" t="str">
        <f t="shared" si="4"/>
        <v>5KS365KWC203</v>
      </c>
    </row>
    <row r="167" s="30" customFormat="1" ht="14.25" spans="1:6">
      <c r="A167" s="32">
        <v>165</v>
      </c>
      <c r="B167" s="34" t="s">
        <v>336</v>
      </c>
      <c r="C167" s="32" t="s">
        <v>337</v>
      </c>
      <c r="D167" s="32">
        <v>75</v>
      </c>
      <c r="E167" s="32" t="s">
        <v>8</v>
      </c>
      <c r="F167" s="30" t="str">
        <f t="shared" si="4"/>
        <v>5KS365KWC209</v>
      </c>
    </row>
    <row r="168" s="30" customFormat="1" ht="14.25" spans="1:6">
      <c r="A168" s="32">
        <v>166</v>
      </c>
      <c r="B168" s="34" t="s">
        <v>338</v>
      </c>
      <c r="C168" s="32" t="s">
        <v>339</v>
      </c>
      <c r="D168" s="32">
        <v>100</v>
      </c>
      <c r="E168" s="32" t="s">
        <v>8</v>
      </c>
      <c r="F168" s="30" t="str">
        <f t="shared" si="4"/>
        <v>5KS405BWC205</v>
      </c>
    </row>
    <row r="169" s="30" customFormat="1" ht="14.25" spans="1:6">
      <c r="A169" s="32">
        <v>167</v>
      </c>
      <c r="B169" s="34" t="s">
        <v>340</v>
      </c>
      <c r="C169" s="32" t="s">
        <v>341</v>
      </c>
      <c r="D169" s="32">
        <v>100</v>
      </c>
      <c r="E169" s="32" t="s">
        <v>8</v>
      </c>
      <c r="F169" s="30" t="str">
        <f t="shared" si="4"/>
        <v>5KS405KWC205</v>
      </c>
    </row>
    <row r="170" s="30" customFormat="1" ht="14.25" spans="1:6">
      <c r="A170" s="32">
        <v>168</v>
      </c>
      <c r="B170" s="34" t="s">
        <v>342</v>
      </c>
      <c r="C170" s="32" t="s">
        <v>343</v>
      </c>
      <c r="D170" s="32">
        <v>125</v>
      </c>
      <c r="E170" s="32" t="s">
        <v>255</v>
      </c>
      <c r="F170" s="30" t="str">
        <f t="shared" si="4"/>
        <v>5KS444BWC208</v>
      </c>
    </row>
    <row r="171" s="30" customFormat="1" ht="14.25" spans="1:6">
      <c r="A171" s="32">
        <v>169</v>
      </c>
      <c r="B171" s="34" t="s">
        <v>344</v>
      </c>
      <c r="C171" s="32" t="s">
        <v>345</v>
      </c>
      <c r="D171" s="32">
        <v>125</v>
      </c>
      <c r="E171" s="32" t="s">
        <v>255</v>
      </c>
      <c r="F171" s="30" t="str">
        <f t="shared" si="4"/>
        <v>5KS444KWC208</v>
      </c>
    </row>
    <row r="172" s="30" customFormat="1" ht="14.25" spans="1:6">
      <c r="A172" s="32">
        <v>170</v>
      </c>
      <c r="B172" s="34" t="s">
        <v>346</v>
      </c>
      <c r="C172" s="32" t="s">
        <v>347</v>
      </c>
      <c r="D172" s="32">
        <v>150</v>
      </c>
      <c r="E172" s="32" t="s">
        <v>255</v>
      </c>
      <c r="F172" s="30" t="str">
        <f t="shared" si="4"/>
        <v>5KS445BWC208</v>
      </c>
    </row>
    <row r="173" s="30" customFormat="1" ht="14.25" spans="1:6">
      <c r="A173" s="32">
        <v>171</v>
      </c>
      <c r="B173" s="34" t="s">
        <v>348</v>
      </c>
      <c r="C173" s="32" t="s">
        <v>349</v>
      </c>
      <c r="D173" s="32">
        <v>150</v>
      </c>
      <c r="E173" s="32" t="s">
        <v>255</v>
      </c>
      <c r="F173" s="30" t="str">
        <f t="shared" si="4"/>
        <v>5KS445KWC208</v>
      </c>
    </row>
    <row r="174" s="30" customFormat="1" ht="14.25" spans="1:6">
      <c r="A174" s="32">
        <v>172</v>
      </c>
      <c r="B174" s="34" t="s">
        <v>350</v>
      </c>
      <c r="C174" s="32" t="s">
        <v>351</v>
      </c>
      <c r="D174" s="32">
        <v>200</v>
      </c>
      <c r="E174" s="32" t="s">
        <v>255</v>
      </c>
      <c r="F174" s="30" t="str">
        <f t="shared" si="4"/>
        <v>5KS447BWC208</v>
      </c>
    </row>
    <row r="175" s="30" customFormat="1" ht="14.25" spans="1:6">
      <c r="A175" s="32">
        <v>173</v>
      </c>
      <c r="B175" s="34" t="s">
        <v>352</v>
      </c>
      <c r="C175" s="32" t="s">
        <v>353</v>
      </c>
      <c r="D175" s="32">
        <v>200</v>
      </c>
      <c r="E175" s="32" t="s">
        <v>255</v>
      </c>
      <c r="F175" s="30" t="str">
        <f t="shared" si="4"/>
        <v>5KS447KWC208</v>
      </c>
    </row>
    <row r="176" s="30" customFormat="1" ht="14.25" spans="1:6">
      <c r="A176" s="32">
        <v>174</v>
      </c>
      <c r="B176" s="34" t="s">
        <v>354</v>
      </c>
      <c r="C176" s="32" t="s">
        <v>355</v>
      </c>
      <c r="D176" s="32">
        <v>25</v>
      </c>
      <c r="E176" s="32" t="s">
        <v>8</v>
      </c>
      <c r="F176" s="30" t="str">
        <f t="shared" si="4"/>
        <v>5KS324BWC305</v>
      </c>
    </row>
    <row r="177" s="30" customFormat="1" ht="14.25" spans="1:6">
      <c r="A177" s="32">
        <v>175</v>
      </c>
      <c r="B177" s="34" t="s">
        <v>356</v>
      </c>
      <c r="C177" s="32" t="s">
        <v>357</v>
      </c>
      <c r="D177" s="32">
        <v>25</v>
      </c>
      <c r="E177" s="32" t="s">
        <v>8</v>
      </c>
      <c r="F177" s="30" t="str">
        <f t="shared" si="4"/>
        <v>5KS324KWC320</v>
      </c>
    </row>
  </sheetData>
  <autoFilter xmlns:etc="http://www.wps.cn/officeDocument/2017/etCustomData" ref="A2:E177" etc:filterBottomFollowUsedRange="0">
    <extLst/>
  </autoFilter>
  <hyperlinks>
    <hyperlink ref="B126" r:id="rId1" location="ptc1/tcomp/infoPage?ContainerOid=OR:wt.pdmlink.PDMLinkProduct:227077019&amp;oid=VR:wt.part.WTPart:4843336084&amp;u8=1" display="LBC000068700"/>
    <hyperlink ref="B137" r:id="rId1" location="ptc1/tcomp/infoPage?ContainerOid=OR:wt.pdmlink.PDMLinkProduct:227077019&amp;oid=VR:wt.part.WTPart:4843475331&amp;u8=1" display="LBC000069100"/>
    <hyperlink ref="B17" r:id="rId1" location="ptc1/tcomp/infoPage?ContainerOid=OR:wt.pdmlink.PDMLinkProduct:227077019&amp;oid=VR:wt.part.WTPart:5013605673&amp;u8=1" display="LBA000100200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workbookViewId="0">
      <selection activeCell="J17" sqref="J17"/>
    </sheetView>
  </sheetViews>
  <sheetFormatPr defaultColWidth="9" defaultRowHeight="13.5" outlineLevelCol="5"/>
  <cols>
    <col min="1" max="1" width="5" style="11" customWidth="1"/>
    <col min="2" max="2" width="14.1083333333333" style="11" customWidth="1"/>
    <col min="3" max="3" width="19.6333333333333" style="11" customWidth="1"/>
    <col min="4" max="5" width="9" style="11"/>
  </cols>
  <sheetData>
    <row r="1" s="10" customFormat="1" ht="14.25" spans="1:6">
      <c r="A1" s="23"/>
      <c r="B1" s="24"/>
      <c r="C1" s="25" t="s">
        <v>358</v>
      </c>
      <c r="D1" s="25"/>
      <c r="E1" s="25"/>
      <c r="F1" s="26"/>
    </row>
    <row r="2" s="11" customFormat="1" ht="28.5" spans="1:6">
      <c r="A2" s="16" t="s">
        <v>1</v>
      </c>
      <c r="B2" s="16" t="s">
        <v>2</v>
      </c>
      <c r="C2" s="16" t="s">
        <v>3</v>
      </c>
      <c r="D2" s="17" t="s">
        <v>4</v>
      </c>
      <c r="E2" s="17" t="s">
        <v>5</v>
      </c>
      <c r="F2" s="27" t="s">
        <v>359</v>
      </c>
    </row>
    <row r="3" ht="14.25" spans="1:6">
      <c r="A3" s="27">
        <v>1</v>
      </c>
      <c r="B3" s="27" t="s">
        <v>360</v>
      </c>
      <c r="C3" s="27" t="s">
        <v>361</v>
      </c>
      <c r="D3" s="18">
        <v>3</v>
      </c>
      <c r="E3" s="27">
        <v>460</v>
      </c>
      <c r="F3" s="27" t="s">
        <v>362</v>
      </c>
    </row>
    <row r="4" ht="14.25" spans="1:6">
      <c r="A4" s="27">
        <v>2</v>
      </c>
      <c r="B4" s="27" t="s">
        <v>363</v>
      </c>
      <c r="C4" s="27" t="s">
        <v>364</v>
      </c>
      <c r="D4" s="18">
        <v>5</v>
      </c>
      <c r="E4" s="27">
        <v>460</v>
      </c>
      <c r="F4" s="27"/>
    </row>
    <row r="5" ht="14.25" spans="1:6">
      <c r="A5" s="27">
        <v>3</v>
      </c>
      <c r="B5" s="27" t="s">
        <v>365</v>
      </c>
      <c r="C5" s="27" t="s">
        <v>366</v>
      </c>
      <c r="D5" s="18">
        <v>7.5</v>
      </c>
      <c r="E5" s="27">
        <v>460</v>
      </c>
      <c r="F5" s="27"/>
    </row>
    <row r="6" ht="14.25" spans="1:6">
      <c r="A6" s="27">
        <v>4</v>
      </c>
      <c r="B6" s="27" t="s">
        <v>367</v>
      </c>
      <c r="C6" s="27" t="s">
        <v>368</v>
      </c>
      <c r="D6" s="18">
        <v>10</v>
      </c>
      <c r="E6" s="27">
        <v>460</v>
      </c>
      <c r="F6" s="27"/>
    </row>
    <row r="7" ht="14.25" spans="1:6">
      <c r="A7" s="27">
        <v>5</v>
      </c>
      <c r="B7" s="27" t="s">
        <v>369</v>
      </c>
      <c r="C7" s="27" t="s">
        <v>370</v>
      </c>
      <c r="D7" s="18">
        <v>15</v>
      </c>
      <c r="E7" s="27">
        <v>460</v>
      </c>
      <c r="F7" s="27"/>
    </row>
    <row r="8" ht="14.25" spans="1:6">
      <c r="A8" s="27">
        <v>6</v>
      </c>
      <c r="B8" s="27" t="s">
        <v>371</v>
      </c>
      <c r="C8" s="27" t="s">
        <v>372</v>
      </c>
      <c r="D8" s="18">
        <v>20</v>
      </c>
      <c r="E8" s="27">
        <v>460</v>
      </c>
      <c r="F8" s="27"/>
    </row>
    <row r="9" ht="14.25" spans="1:6">
      <c r="A9" s="27">
        <v>7</v>
      </c>
      <c r="B9" s="27" t="s">
        <v>373</v>
      </c>
      <c r="C9" s="27" t="s">
        <v>374</v>
      </c>
      <c r="D9" s="18">
        <v>25</v>
      </c>
      <c r="E9" s="27">
        <v>460</v>
      </c>
      <c r="F9" s="27"/>
    </row>
    <row r="10" ht="14.25" spans="1:6">
      <c r="A10" s="27">
        <v>8</v>
      </c>
      <c r="B10" s="27" t="s">
        <v>375</v>
      </c>
      <c r="C10" s="27" t="s">
        <v>376</v>
      </c>
      <c r="D10" s="18">
        <v>30</v>
      </c>
      <c r="E10" s="27">
        <v>460</v>
      </c>
      <c r="F10" s="27"/>
    </row>
    <row r="11" ht="14.25" spans="1:6">
      <c r="A11" s="27">
        <v>9</v>
      </c>
      <c r="B11" s="27" t="s">
        <v>377</v>
      </c>
      <c r="C11" s="27" t="s">
        <v>378</v>
      </c>
      <c r="D11" s="18">
        <v>40</v>
      </c>
      <c r="E11" s="27">
        <v>460</v>
      </c>
      <c r="F11" s="27"/>
    </row>
    <row r="12" ht="14.25" spans="1:6">
      <c r="A12" s="27">
        <v>10</v>
      </c>
      <c r="B12" s="27" t="s">
        <v>379</v>
      </c>
      <c r="C12" s="27" t="s">
        <v>380</v>
      </c>
      <c r="D12" s="18">
        <v>50</v>
      </c>
      <c r="E12" s="27">
        <v>460</v>
      </c>
      <c r="F12" s="27"/>
    </row>
    <row r="13" ht="14.25" spans="1:6">
      <c r="A13" s="27">
        <v>11</v>
      </c>
      <c r="B13" s="27" t="s">
        <v>381</v>
      </c>
      <c r="C13" s="27" t="s">
        <v>382</v>
      </c>
      <c r="D13" s="18">
        <v>60</v>
      </c>
      <c r="E13" s="27">
        <v>460</v>
      </c>
      <c r="F13" s="27"/>
    </row>
    <row r="14" ht="14.25" spans="1:6">
      <c r="A14" s="27">
        <v>12</v>
      </c>
      <c r="B14" s="27" t="s">
        <v>383</v>
      </c>
      <c r="C14" s="27" t="s">
        <v>384</v>
      </c>
      <c r="D14" s="18">
        <v>75</v>
      </c>
      <c r="E14" s="27">
        <v>460</v>
      </c>
      <c r="F14" s="27"/>
    </row>
    <row r="15" ht="14.25" spans="1:6">
      <c r="A15" s="27">
        <v>13</v>
      </c>
      <c r="B15" s="27" t="s">
        <v>385</v>
      </c>
      <c r="C15" s="27" t="s">
        <v>386</v>
      </c>
      <c r="D15" s="18">
        <v>100</v>
      </c>
      <c r="E15" s="27">
        <v>460</v>
      </c>
      <c r="F15" s="27"/>
    </row>
    <row r="16" ht="14.25" spans="1:6">
      <c r="A16" s="27">
        <v>14</v>
      </c>
      <c r="B16" s="27" t="s">
        <v>387</v>
      </c>
      <c r="C16" s="27" t="s">
        <v>388</v>
      </c>
      <c r="D16" s="18">
        <v>125</v>
      </c>
      <c r="E16" s="27">
        <v>460</v>
      </c>
      <c r="F16" s="27"/>
    </row>
    <row r="17" ht="14.25" spans="1:6">
      <c r="A17" s="27">
        <v>15</v>
      </c>
      <c r="B17" s="27" t="s">
        <v>389</v>
      </c>
      <c r="C17" s="27" t="s">
        <v>390</v>
      </c>
      <c r="D17" s="18">
        <v>150</v>
      </c>
      <c r="E17" s="27">
        <v>460</v>
      </c>
      <c r="F17" s="27"/>
    </row>
    <row r="18" ht="14.25" spans="1:6">
      <c r="A18" s="23"/>
      <c r="B18" s="23"/>
      <c r="C18" s="23"/>
      <c r="D18" s="23"/>
      <c r="E18" s="23"/>
      <c r="F18" s="26"/>
    </row>
    <row r="19" ht="14.25" spans="1:6">
      <c r="A19" s="16">
        <v>16</v>
      </c>
      <c r="B19" s="16" t="s">
        <v>391</v>
      </c>
      <c r="C19" s="16" t="str">
        <f>VLOOKUP(B19,[1]Sheet1!$J:$K,2,0)</f>
        <v>5KR213ZWL308</v>
      </c>
      <c r="D19" s="16">
        <v>3</v>
      </c>
      <c r="E19" s="16">
        <v>460</v>
      </c>
      <c r="F19" s="28" t="s">
        <v>392</v>
      </c>
    </row>
    <row r="20" ht="14.25" spans="1:6">
      <c r="A20" s="27">
        <v>17</v>
      </c>
      <c r="B20" s="27" t="s">
        <v>393</v>
      </c>
      <c r="C20" s="27" t="str">
        <f>VLOOKUP(B20,[1]Sheet1!$J:$K,2,0)</f>
        <v>5KR215ZWL308</v>
      </c>
      <c r="D20" s="18">
        <v>5</v>
      </c>
      <c r="E20" s="27">
        <v>460</v>
      </c>
      <c r="F20" s="28"/>
    </row>
    <row r="21" ht="14.25" spans="1:6">
      <c r="A21" s="16">
        <v>18</v>
      </c>
      <c r="B21" s="27" t="s">
        <v>394</v>
      </c>
      <c r="C21" s="27" t="str">
        <f>VLOOKUP(B21,[1]Sheet1!$J:$K,2,0)</f>
        <v>5KR254ZWL308</v>
      </c>
      <c r="D21" s="18">
        <v>7.5</v>
      </c>
      <c r="E21" s="27">
        <v>460</v>
      </c>
      <c r="F21" s="28"/>
    </row>
    <row r="22" ht="14.25" spans="1:6">
      <c r="A22" s="27">
        <v>19</v>
      </c>
      <c r="B22" s="27" t="s">
        <v>395</v>
      </c>
      <c r="C22" s="27" t="str">
        <f>VLOOKUP(B22,[1]Sheet1!$J:$K,2,0)</f>
        <v>5KR256ZWL308</v>
      </c>
      <c r="D22" s="18">
        <v>10</v>
      </c>
      <c r="E22" s="27">
        <v>460</v>
      </c>
      <c r="F22" s="28"/>
    </row>
    <row r="23" ht="14.25" spans="1:6">
      <c r="A23" s="16">
        <v>20</v>
      </c>
      <c r="B23" s="27" t="s">
        <v>396</v>
      </c>
      <c r="C23" s="27" t="str">
        <f>VLOOKUP(B23,[1]Sheet1!$J:$K,2,0)</f>
        <v>5KR284ZWL308</v>
      </c>
      <c r="D23" s="18">
        <v>15</v>
      </c>
      <c r="E23" s="27">
        <v>460</v>
      </c>
      <c r="F23" s="28"/>
    </row>
    <row r="24" ht="14.25" spans="1:6">
      <c r="A24" s="27">
        <v>21</v>
      </c>
      <c r="B24" s="27" t="s">
        <v>397</v>
      </c>
      <c r="C24" s="27" t="str">
        <f>VLOOKUP(B24,[1]Sheet1!$J:$K,2,0)</f>
        <v>5KR286ZWL308</v>
      </c>
      <c r="D24" s="18">
        <v>20</v>
      </c>
      <c r="E24" s="27">
        <v>460</v>
      </c>
      <c r="F24" s="28"/>
    </row>
    <row r="25" ht="14.25" spans="1:6">
      <c r="A25" s="16">
        <v>22</v>
      </c>
      <c r="B25" s="27" t="s">
        <v>398</v>
      </c>
      <c r="C25" s="27" t="str">
        <f>VLOOKUP(B25,[1]Sheet1!$J:$K,2,0)</f>
        <v>5KR324ZWL308</v>
      </c>
      <c r="D25" s="18">
        <v>25</v>
      </c>
      <c r="E25" s="27">
        <v>460</v>
      </c>
      <c r="F25" s="28"/>
    </row>
    <row r="26" ht="14.25" spans="1:6">
      <c r="A26" s="27">
        <v>23</v>
      </c>
      <c r="B26" s="27" t="s">
        <v>399</v>
      </c>
      <c r="C26" s="27" t="str">
        <f>VLOOKUP(B26,[1]Sheet1!$J:$K,2,0)</f>
        <v>5KR326ZWL308</v>
      </c>
      <c r="D26" s="18">
        <v>30</v>
      </c>
      <c r="E26" s="27">
        <v>460</v>
      </c>
      <c r="F26" s="28"/>
    </row>
    <row r="27" ht="14.25" spans="1:6">
      <c r="A27" s="16">
        <v>24</v>
      </c>
      <c r="B27" s="27" t="s">
        <v>400</v>
      </c>
      <c r="C27" s="27" t="str">
        <f>VLOOKUP(B27,[1]Sheet1!$J:$K,2,0)</f>
        <v>5KR365ZWL308</v>
      </c>
      <c r="D27" s="18">
        <v>40</v>
      </c>
      <c r="E27" s="27">
        <v>460</v>
      </c>
      <c r="F27" s="28"/>
    </row>
    <row r="28" ht="14.25" spans="1:6">
      <c r="A28" s="27">
        <v>25</v>
      </c>
      <c r="B28" s="27" t="s">
        <v>401</v>
      </c>
      <c r="C28" s="27" t="str">
        <f>VLOOKUP(B28,[1]Sheet1!$J:$K,2,0)</f>
        <v>5KR404ZWL308</v>
      </c>
      <c r="D28" s="18">
        <v>50</v>
      </c>
      <c r="E28" s="27">
        <v>460</v>
      </c>
      <c r="F28" s="28"/>
    </row>
    <row r="29" ht="14.25" spans="1:6">
      <c r="A29" s="16">
        <v>26</v>
      </c>
      <c r="B29" s="27" t="s">
        <v>402</v>
      </c>
      <c r="C29" s="27" t="str">
        <f>VLOOKUP(B29,[1]Sheet1!$J:$K,2,0)</f>
        <v>5KR405ZWL308</v>
      </c>
      <c r="D29" s="18">
        <v>60</v>
      </c>
      <c r="E29" s="27">
        <v>460</v>
      </c>
      <c r="F29" s="28"/>
    </row>
    <row r="30" ht="14.25" spans="1:6">
      <c r="A30" s="27">
        <v>27</v>
      </c>
      <c r="B30" s="27" t="s">
        <v>403</v>
      </c>
      <c r="C30" s="27" t="str">
        <f>VLOOKUP(B30,[1]Sheet1!$J:$K,2,0)</f>
        <v>5KR444ZWL308</v>
      </c>
      <c r="D30" s="18">
        <v>75</v>
      </c>
      <c r="E30" s="27">
        <v>460</v>
      </c>
      <c r="F30" s="28"/>
    </row>
    <row r="31" ht="14.25" spans="1:6">
      <c r="A31" s="16">
        <v>28</v>
      </c>
      <c r="B31" s="27" t="s">
        <v>404</v>
      </c>
      <c r="C31" s="27" t="str">
        <f>VLOOKUP(B31,[1]Sheet1!$J:$K,2,0)</f>
        <v>5KR445ZWL308</v>
      </c>
      <c r="D31" s="18">
        <v>100</v>
      </c>
      <c r="E31" s="27">
        <v>460</v>
      </c>
      <c r="F31" s="28"/>
    </row>
    <row r="32" ht="14.25" spans="1:6">
      <c r="A32" s="27">
        <v>29</v>
      </c>
      <c r="B32" s="27" t="s">
        <v>405</v>
      </c>
      <c r="C32" s="27" t="str">
        <f>VLOOKUP(B32,[1]Sheet1!$J:$K,2,0)</f>
        <v>5KR447ZWL308</v>
      </c>
      <c r="D32" s="18">
        <v>125</v>
      </c>
      <c r="E32" s="27">
        <v>460</v>
      </c>
      <c r="F32" s="28"/>
    </row>
    <row r="33" ht="14.25" spans="1:6">
      <c r="A33" s="16">
        <v>30</v>
      </c>
      <c r="B33" s="27" t="s">
        <v>406</v>
      </c>
      <c r="C33" s="27" t="str">
        <f>VLOOKUP(B33,[1]Sheet1!$J:$K,2,0)</f>
        <v>5KR449ZWL308</v>
      </c>
      <c r="D33" s="18">
        <v>150</v>
      </c>
      <c r="E33" s="27">
        <v>460</v>
      </c>
      <c r="F33" s="28"/>
    </row>
  </sheetData>
  <autoFilter xmlns:etc="http://www.wps.cn/officeDocument/2017/etCustomData" ref="A2:F17" etc:filterBottomFollowUsedRange="0">
    <extLst/>
  </autoFilter>
  <mergeCells count="2">
    <mergeCell ref="F3:F17"/>
    <mergeCell ref="F19:F33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5"/>
  <sheetViews>
    <sheetView workbookViewId="0">
      <selection activeCell="I31" sqref="I31"/>
    </sheetView>
  </sheetViews>
  <sheetFormatPr defaultColWidth="9" defaultRowHeight="13.5" outlineLevelCol="4"/>
  <cols>
    <col min="1" max="1" width="5" style="11" customWidth="1"/>
    <col min="2" max="2" width="16.1333333333333" customWidth="1"/>
    <col min="3" max="3" width="15.3833333333333" customWidth="1"/>
    <col min="4" max="4" width="9.66666666666667" style="11" customWidth="1"/>
    <col min="5" max="5" width="10.25" customWidth="1"/>
  </cols>
  <sheetData>
    <row r="1" s="10" customFormat="1" ht="14.25" spans="1:5">
      <c r="A1" s="12"/>
      <c r="B1" s="13"/>
      <c r="C1" s="14" t="s">
        <v>407</v>
      </c>
      <c r="D1" s="15"/>
      <c r="E1" s="14"/>
    </row>
    <row r="2" s="10" customFormat="1" ht="28.5" spans="1:5">
      <c r="A2" s="16" t="s">
        <v>1</v>
      </c>
      <c r="B2" s="16" t="s">
        <v>2</v>
      </c>
      <c r="C2" s="16" t="s">
        <v>3</v>
      </c>
      <c r="D2" s="17" t="s">
        <v>4</v>
      </c>
      <c r="E2" s="17" t="s">
        <v>5</v>
      </c>
    </row>
    <row r="3" ht="14.25" spans="1:5">
      <c r="A3" s="18">
        <v>1</v>
      </c>
      <c r="B3" s="19" t="s">
        <v>408</v>
      </c>
      <c r="C3" s="19" t="s">
        <v>409</v>
      </c>
      <c r="D3" s="18">
        <v>5</v>
      </c>
      <c r="E3" s="20" t="s">
        <v>8</v>
      </c>
    </row>
    <row r="4" ht="14.25" spans="1:5">
      <c r="A4" s="18">
        <v>2</v>
      </c>
      <c r="B4" s="19" t="s">
        <v>410</v>
      </c>
      <c r="C4" s="19" t="s">
        <v>411</v>
      </c>
      <c r="D4" s="18">
        <v>5</v>
      </c>
      <c r="E4" s="20" t="s">
        <v>8</v>
      </c>
    </row>
    <row r="5" ht="14.25" spans="1:5">
      <c r="A5" s="18">
        <v>3</v>
      </c>
      <c r="B5" s="19" t="s">
        <v>412</v>
      </c>
      <c r="C5" s="19" t="s">
        <v>413</v>
      </c>
      <c r="D5" s="18">
        <v>7.5</v>
      </c>
      <c r="E5" s="20" t="s">
        <v>8</v>
      </c>
    </row>
    <row r="6" ht="14.25" spans="1:5">
      <c r="A6" s="18">
        <v>4</v>
      </c>
      <c r="B6" s="19" t="s">
        <v>414</v>
      </c>
      <c r="C6" s="19" t="s">
        <v>415</v>
      </c>
      <c r="D6" s="18">
        <v>7.5</v>
      </c>
      <c r="E6" s="20" t="s">
        <v>8</v>
      </c>
    </row>
    <row r="7" ht="14.25" spans="1:5">
      <c r="A7" s="18">
        <v>5</v>
      </c>
      <c r="B7" s="19" t="s">
        <v>416</v>
      </c>
      <c r="C7" s="19" t="s">
        <v>417</v>
      </c>
      <c r="D7" s="18">
        <v>10</v>
      </c>
      <c r="E7" s="20" t="s">
        <v>8</v>
      </c>
    </row>
    <row r="8" ht="14.25" spans="1:5">
      <c r="A8" s="18">
        <v>6</v>
      </c>
      <c r="B8" s="19" t="s">
        <v>418</v>
      </c>
      <c r="C8" s="19" t="s">
        <v>419</v>
      </c>
      <c r="D8" s="18">
        <v>10</v>
      </c>
      <c r="E8" s="20" t="s">
        <v>8</v>
      </c>
    </row>
    <row r="9" ht="14.25" spans="1:5">
      <c r="A9" s="18">
        <v>7</v>
      </c>
      <c r="B9" s="19" t="s">
        <v>420</v>
      </c>
      <c r="C9" s="19" t="s">
        <v>421</v>
      </c>
      <c r="D9" s="18">
        <v>15</v>
      </c>
      <c r="E9" s="20" t="s">
        <v>8</v>
      </c>
    </row>
    <row r="10" ht="14.25" spans="1:5">
      <c r="A10" s="18">
        <v>8</v>
      </c>
      <c r="B10" s="19" t="s">
        <v>422</v>
      </c>
      <c r="C10" s="19" t="s">
        <v>423</v>
      </c>
      <c r="D10" s="18">
        <v>20</v>
      </c>
      <c r="E10" s="20" t="s">
        <v>8</v>
      </c>
    </row>
    <row r="11" ht="14.25" spans="1:5">
      <c r="A11" s="18">
        <v>9</v>
      </c>
      <c r="B11" s="19" t="s">
        <v>424</v>
      </c>
      <c r="C11" s="19" t="s">
        <v>425</v>
      </c>
      <c r="D11" s="18">
        <v>20</v>
      </c>
      <c r="E11" s="20" t="s">
        <v>8</v>
      </c>
    </row>
    <row r="12" ht="14.25" spans="1:5">
      <c r="A12" s="18">
        <v>10</v>
      </c>
      <c r="B12" s="19" t="s">
        <v>426</v>
      </c>
      <c r="C12" s="19" t="s">
        <v>427</v>
      </c>
      <c r="D12" s="18">
        <v>25</v>
      </c>
      <c r="E12" s="20" t="s">
        <v>8</v>
      </c>
    </row>
    <row r="13" ht="14.25" spans="1:5">
      <c r="A13" s="18">
        <v>11</v>
      </c>
      <c r="B13" s="19" t="s">
        <v>428</v>
      </c>
      <c r="C13" s="19" t="s">
        <v>429</v>
      </c>
      <c r="D13" s="18">
        <v>25</v>
      </c>
      <c r="E13" s="20" t="s">
        <v>8</v>
      </c>
    </row>
    <row r="14" ht="14.25" spans="1:5">
      <c r="A14" s="18">
        <v>12</v>
      </c>
      <c r="B14" s="19" t="s">
        <v>430</v>
      </c>
      <c r="C14" s="19" t="s">
        <v>431</v>
      </c>
      <c r="D14" s="18">
        <v>30</v>
      </c>
      <c r="E14" s="20" t="s">
        <v>8</v>
      </c>
    </row>
    <row r="15" ht="14.25" spans="1:5">
      <c r="A15" s="18">
        <v>13</v>
      </c>
      <c r="B15" s="19" t="s">
        <v>432</v>
      </c>
      <c r="C15" s="19" t="s">
        <v>433</v>
      </c>
      <c r="D15" s="18">
        <v>30</v>
      </c>
      <c r="E15" s="20" t="s">
        <v>8</v>
      </c>
    </row>
    <row r="16" ht="14.25" spans="1:5">
      <c r="A16" s="18">
        <v>14</v>
      </c>
      <c r="B16" s="19" t="s">
        <v>434</v>
      </c>
      <c r="C16" s="19" t="s">
        <v>435</v>
      </c>
      <c r="D16" s="18">
        <v>15</v>
      </c>
      <c r="E16" s="20" t="s">
        <v>8</v>
      </c>
    </row>
    <row r="17" ht="14.25" spans="1:5">
      <c r="A17" s="18">
        <v>15</v>
      </c>
      <c r="B17" s="19" t="s">
        <v>436</v>
      </c>
      <c r="C17" s="19" t="s">
        <v>437</v>
      </c>
      <c r="D17" s="18">
        <v>40</v>
      </c>
      <c r="E17" s="20" t="s">
        <v>8</v>
      </c>
    </row>
    <row r="18" ht="14.25" spans="1:5">
      <c r="A18" s="18">
        <v>16</v>
      </c>
      <c r="B18" s="19" t="s">
        <v>438</v>
      </c>
      <c r="C18" s="19" t="s">
        <v>439</v>
      </c>
      <c r="D18" s="18">
        <v>75</v>
      </c>
      <c r="E18" s="20" t="s">
        <v>8</v>
      </c>
    </row>
    <row r="19" ht="14.25" spans="1:5">
      <c r="A19" s="18">
        <v>17</v>
      </c>
      <c r="B19" s="19" t="s">
        <v>440</v>
      </c>
      <c r="C19" s="19" t="s">
        <v>441</v>
      </c>
      <c r="D19" s="18">
        <v>60</v>
      </c>
      <c r="E19" s="20" t="s">
        <v>8</v>
      </c>
    </row>
    <row r="20" ht="14.25" spans="1:5">
      <c r="A20" s="18">
        <v>18</v>
      </c>
      <c r="B20" s="19" t="s">
        <v>442</v>
      </c>
      <c r="C20" s="19" t="s">
        <v>443</v>
      </c>
      <c r="D20" s="18">
        <v>30</v>
      </c>
      <c r="E20" s="20" t="s">
        <v>8</v>
      </c>
    </row>
    <row r="21" ht="14.25" spans="1:5">
      <c r="A21" s="18">
        <v>19</v>
      </c>
      <c r="B21" s="19" t="s">
        <v>444</v>
      </c>
      <c r="C21" s="19" t="s">
        <v>445</v>
      </c>
      <c r="D21" s="18">
        <v>100</v>
      </c>
      <c r="E21" s="20" t="s">
        <v>8</v>
      </c>
    </row>
    <row r="22" ht="14.25" spans="1:5">
      <c r="A22" s="18">
        <v>20</v>
      </c>
      <c r="B22" s="19" t="s">
        <v>446</v>
      </c>
      <c r="C22" s="19" t="s">
        <v>447</v>
      </c>
      <c r="D22" s="18">
        <v>7.5</v>
      </c>
      <c r="E22" s="20" t="s">
        <v>8</v>
      </c>
    </row>
    <row r="23" ht="14.25" spans="1:5">
      <c r="A23" s="18">
        <v>21</v>
      </c>
      <c r="B23" s="19" t="s">
        <v>448</v>
      </c>
      <c r="C23" s="19" t="s">
        <v>449</v>
      </c>
      <c r="D23" s="18">
        <v>50</v>
      </c>
      <c r="E23" s="20" t="s">
        <v>8</v>
      </c>
    </row>
    <row r="24" ht="14.25" spans="1:5">
      <c r="A24" s="18">
        <v>22</v>
      </c>
      <c r="B24" s="19" t="s">
        <v>450</v>
      </c>
      <c r="C24" s="19" t="s">
        <v>451</v>
      </c>
      <c r="D24" s="18">
        <v>150</v>
      </c>
      <c r="E24" s="20" t="s">
        <v>255</v>
      </c>
    </row>
    <row r="25" ht="14.25" spans="1:5">
      <c r="A25" s="18">
        <v>23</v>
      </c>
      <c r="B25" s="19" t="s">
        <v>452</v>
      </c>
      <c r="C25" s="19" t="s">
        <v>453</v>
      </c>
      <c r="D25" s="18">
        <v>125</v>
      </c>
      <c r="E25" s="20" t="s">
        <v>255</v>
      </c>
    </row>
    <row r="26" ht="14.25" spans="1:5">
      <c r="A26" s="18">
        <v>24</v>
      </c>
      <c r="B26" s="19" t="s">
        <v>454</v>
      </c>
      <c r="C26" s="19" t="s">
        <v>455</v>
      </c>
      <c r="D26" s="18">
        <v>50</v>
      </c>
      <c r="E26" s="20" t="s">
        <v>8</v>
      </c>
    </row>
    <row r="27" ht="14.25" spans="1:5">
      <c r="A27" s="18">
        <v>25</v>
      </c>
      <c r="B27" s="19" t="s">
        <v>456</v>
      </c>
      <c r="C27" s="19" t="s">
        <v>457</v>
      </c>
      <c r="D27" s="18">
        <v>20</v>
      </c>
      <c r="E27" s="20" t="s">
        <v>8</v>
      </c>
    </row>
    <row r="28" ht="14.25" spans="1:5">
      <c r="A28" s="18">
        <v>26</v>
      </c>
      <c r="B28" s="19" t="s">
        <v>458</v>
      </c>
      <c r="C28" s="19" t="s">
        <v>459</v>
      </c>
      <c r="D28" s="18">
        <v>30</v>
      </c>
      <c r="E28" s="20" t="s">
        <v>8</v>
      </c>
    </row>
    <row r="29" ht="14.25" spans="1:5">
      <c r="A29" s="18">
        <v>27</v>
      </c>
      <c r="B29" s="19" t="s">
        <v>460</v>
      </c>
      <c r="C29" s="19" t="s">
        <v>461</v>
      </c>
      <c r="D29" s="18">
        <v>150</v>
      </c>
      <c r="E29" s="20" t="s">
        <v>255</v>
      </c>
    </row>
    <row r="30" ht="14.25" spans="1:5">
      <c r="A30" s="18">
        <v>28</v>
      </c>
      <c r="B30" s="19" t="s">
        <v>462</v>
      </c>
      <c r="C30" s="19" t="s">
        <v>463</v>
      </c>
      <c r="D30" s="18">
        <v>25</v>
      </c>
      <c r="E30" s="20" t="s">
        <v>8</v>
      </c>
    </row>
    <row r="31" ht="14.25" spans="1:5">
      <c r="A31" s="18">
        <v>29</v>
      </c>
      <c r="B31" s="19" t="s">
        <v>464</v>
      </c>
      <c r="C31" s="19" t="s">
        <v>465</v>
      </c>
      <c r="D31" s="18">
        <v>60</v>
      </c>
      <c r="E31" s="20" t="s">
        <v>8</v>
      </c>
    </row>
    <row r="32" ht="14.25" spans="1:5">
      <c r="A32" s="18">
        <v>30</v>
      </c>
      <c r="B32" s="21" t="s">
        <v>466</v>
      </c>
      <c r="C32" s="21" t="s">
        <v>467</v>
      </c>
      <c r="D32" s="18">
        <v>10</v>
      </c>
      <c r="E32" s="20" t="s">
        <v>8</v>
      </c>
    </row>
    <row r="33" ht="14.25" spans="1:5">
      <c r="A33" s="18">
        <v>31</v>
      </c>
      <c r="B33" s="21" t="s">
        <v>468</v>
      </c>
      <c r="C33" s="21" t="s">
        <v>469</v>
      </c>
      <c r="D33" s="18">
        <v>100</v>
      </c>
      <c r="E33" s="20" t="s">
        <v>8</v>
      </c>
    </row>
    <row r="34" ht="14.25" spans="1:5">
      <c r="A34" s="18">
        <v>32</v>
      </c>
      <c r="B34" s="21" t="s">
        <v>470</v>
      </c>
      <c r="C34" s="21" t="s">
        <v>471</v>
      </c>
      <c r="D34" s="18">
        <v>250</v>
      </c>
      <c r="E34" s="20" t="s">
        <v>255</v>
      </c>
    </row>
    <row r="35" ht="14.25" spans="1:5">
      <c r="A35" s="18">
        <v>33</v>
      </c>
      <c r="B35" s="21" t="s">
        <v>472</v>
      </c>
      <c r="C35" s="22" t="s">
        <v>473</v>
      </c>
      <c r="D35" s="18">
        <v>40</v>
      </c>
      <c r="E35" s="20" t="s">
        <v>8</v>
      </c>
    </row>
    <row r="36" ht="14.25" spans="1:5">
      <c r="A36" s="18">
        <v>34</v>
      </c>
      <c r="B36" s="21" t="s">
        <v>474</v>
      </c>
      <c r="C36" s="22" t="s">
        <v>475</v>
      </c>
      <c r="D36" s="18">
        <v>40</v>
      </c>
      <c r="E36" s="20" t="s">
        <v>8</v>
      </c>
    </row>
    <row r="37" ht="14.25" spans="1:5">
      <c r="A37" s="18">
        <v>35</v>
      </c>
      <c r="B37" s="21" t="s">
        <v>476</v>
      </c>
      <c r="C37" s="22" t="s">
        <v>477</v>
      </c>
      <c r="D37" s="18">
        <v>50</v>
      </c>
      <c r="E37" s="20" t="s">
        <v>8</v>
      </c>
    </row>
    <row r="38" ht="14.25" spans="1:5">
      <c r="A38" s="18">
        <v>36</v>
      </c>
      <c r="B38" s="21" t="s">
        <v>478</v>
      </c>
      <c r="C38" s="22" t="s">
        <v>479</v>
      </c>
      <c r="D38" s="18">
        <v>50</v>
      </c>
      <c r="E38" s="20" t="s">
        <v>8</v>
      </c>
    </row>
    <row r="39" ht="14.25" spans="1:5">
      <c r="A39" s="18">
        <v>37</v>
      </c>
      <c r="B39" s="21" t="s">
        <v>480</v>
      </c>
      <c r="C39" s="22" t="s">
        <v>481</v>
      </c>
      <c r="D39" s="18">
        <v>60</v>
      </c>
      <c r="E39" s="20" t="s">
        <v>8</v>
      </c>
    </row>
    <row r="40" ht="14.25" spans="1:5">
      <c r="A40" s="18">
        <v>38</v>
      </c>
      <c r="B40" s="21" t="s">
        <v>482</v>
      </c>
      <c r="C40" s="22" t="s">
        <v>483</v>
      </c>
      <c r="D40" s="18">
        <v>60</v>
      </c>
      <c r="E40" s="20" t="s">
        <v>8</v>
      </c>
    </row>
    <row r="41" ht="14.25" spans="1:5">
      <c r="A41" s="18">
        <v>39</v>
      </c>
      <c r="B41" s="21" t="s">
        <v>484</v>
      </c>
      <c r="C41" s="22" t="s">
        <v>485</v>
      </c>
      <c r="D41" s="18">
        <v>75</v>
      </c>
      <c r="E41" s="20" t="s">
        <v>8</v>
      </c>
    </row>
    <row r="42" ht="14.25" spans="1:5">
      <c r="A42" s="18">
        <v>40</v>
      </c>
      <c r="B42" s="21" t="s">
        <v>486</v>
      </c>
      <c r="C42" s="22" t="s">
        <v>487</v>
      </c>
      <c r="D42" s="18">
        <v>75</v>
      </c>
      <c r="E42" s="20" t="s">
        <v>8</v>
      </c>
    </row>
    <row r="43" ht="14.25" spans="1:5">
      <c r="A43" s="18">
        <v>41</v>
      </c>
      <c r="B43" s="21" t="s">
        <v>488</v>
      </c>
      <c r="C43" s="21" t="s">
        <v>489</v>
      </c>
      <c r="D43" s="18">
        <v>25</v>
      </c>
      <c r="E43" s="20" t="s">
        <v>8</v>
      </c>
    </row>
    <row r="44" ht="14.25" spans="1:5">
      <c r="A44" s="18">
        <v>42</v>
      </c>
      <c r="B44" s="21" t="s">
        <v>490</v>
      </c>
      <c r="C44" s="21" t="s">
        <v>491</v>
      </c>
      <c r="D44" s="18">
        <v>25</v>
      </c>
      <c r="E44" s="20" t="s">
        <v>8</v>
      </c>
    </row>
    <row r="45" ht="14.25" spans="1:5">
      <c r="A45" s="18">
        <v>43</v>
      </c>
      <c r="B45" s="21" t="s">
        <v>492</v>
      </c>
      <c r="C45" s="21" t="s">
        <v>493</v>
      </c>
      <c r="D45" s="18">
        <v>75</v>
      </c>
      <c r="E45" s="20" t="s">
        <v>8</v>
      </c>
    </row>
  </sheetData>
  <autoFilter xmlns:etc="http://www.wps.cn/officeDocument/2017/etCustomData" ref="A2:E45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5"/>
  <sheetViews>
    <sheetView tabSelected="1" topLeftCell="A19" workbookViewId="0">
      <selection activeCell="A30" sqref="A30:K31"/>
    </sheetView>
  </sheetViews>
  <sheetFormatPr defaultColWidth="9" defaultRowHeight="13.5"/>
  <cols>
    <col min="3" max="3" width="13.5" customWidth="1"/>
    <col min="4" max="4" width="11.75" customWidth="1"/>
    <col min="5" max="5" width="12" customWidth="1"/>
    <col min="11" max="11" width="14" customWidth="1"/>
  </cols>
  <sheetData>
    <row r="1" ht="15" spans="1:11">
      <c r="A1" s="1" t="s">
        <v>494</v>
      </c>
      <c r="B1" s="1" t="s">
        <v>495</v>
      </c>
      <c r="C1" s="1" t="s">
        <v>496</v>
      </c>
      <c r="D1" s="1" t="s">
        <v>497</v>
      </c>
      <c r="E1" s="1" t="s">
        <v>498</v>
      </c>
      <c r="F1" s="1" t="s">
        <v>499</v>
      </c>
      <c r="G1" s="1" t="s">
        <v>500</v>
      </c>
      <c r="H1" s="1" t="s">
        <v>501</v>
      </c>
      <c r="I1" s="1" t="s">
        <v>502</v>
      </c>
      <c r="J1" s="1" t="s">
        <v>503</v>
      </c>
    </row>
    <row r="2" ht="15" spans="1:11">
      <c r="A2" s="2" t="s">
        <v>504</v>
      </c>
      <c r="B2" s="2" t="s">
        <v>505</v>
      </c>
      <c r="C2" s="3" t="s">
        <v>506</v>
      </c>
      <c r="D2" s="3" t="s">
        <v>507</v>
      </c>
      <c r="E2" s="2" t="s">
        <v>508</v>
      </c>
      <c r="F2" s="4">
        <v>8</v>
      </c>
      <c r="G2" s="2" t="s">
        <v>509</v>
      </c>
      <c r="H2" s="5">
        <v>123.31</v>
      </c>
      <c r="I2" s="5">
        <v>986.48</v>
      </c>
      <c r="J2" s="2" t="s">
        <v>510</v>
      </c>
      <c r="K2" t="str">
        <f>_xlfn.XLOOKUP(C2,WPN系列料号GEIM编码对照表!F:F,WPN系列料号GEIM编码对照表!B:B)</f>
        <v>LBA000089500</v>
      </c>
    </row>
    <row r="3" ht="15" spans="1:11">
      <c r="A3" s="6" t="s">
        <v>504</v>
      </c>
      <c r="B3" s="6" t="s">
        <v>511</v>
      </c>
      <c r="C3" s="7" t="s">
        <v>512</v>
      </c>
      <c r="D3" s="7" t="s">
        <v>507</v>
      </c>
      <c r="E3" s="6" t="s">
        <v>508</v>
      </c>
      <c r="F3" s="8">
        <v>8</v>
      </c>
      <c r="G3" s="6" t="s">
        <v>509</v>
      </c>
      <c r="H3" s="9">
        <v>278.58</v>
      </c>
      <c r="I3" s="9">
        <v>2228.64</v>
      </c>
      <c r="J3" s="6" t="s">
        <v>510</v>
      </c>
      <c r="K3" t="str">
        <f>_xlfn.XLOOKUP(C3,WPN系列料号GEIM编码对照表!F:F,WPN系列料号GEIM编码对照表!B:B)</f>
        <v>LBC000054300</v>
      </c>
    </row>
    <row r="4" ht="15" spans="1:11">
      <c r="A4" s="2" t="s">
        <v>504</v>
      </c>
      <c r="B4" s="2" t="s">
        <v>513</v>
      </c>
      <c r="C4" s="3" t="s">
        <v>514</v>
      </c>
      <c r="D4" s="3" t="s">
        <v>515</v>
      </c>
      <c r="E4" s="2" t="s">
        <v>508</v>
      </c>
      <c r="F4" s="4">
        <v>16</v>
      </c>
      <c r="G4" s="2" t="s">
        <v>509</v>
      </c>
      <c r="H4" s="5">
        <v>284.83</v>
      </c>
      <c r="I4" s="5">
        <v>4557.28</v>
      </c>
      <c r="J4" s="2" t="s">
        <v>510</v>
      </c>
      <c r="K4" t="str">
        <f>_xlfn.XLOOKUP(C4,WPN系列料号GEIM编码对照表!F:F,WPN系列料号GEIM编码对照表!B:B)</f>
        <v>LBA000080900</v>
      </c>
    </row>
    <row r="5" ht="15" spans="1:11">
      <c r="A5" s="6" t="s">
        <v>504</v>
      </c>
      <c r="B5" s="6" t="s">
        <v>516</v>
      </c>
      <c r="C5" s="7" t="s">
        <v>517</v>
      </c>
      <c r="D5" s="7" t="s">
        <v>507</v>
      </c>
      <c r="E5" s="6" t="s">
        <v>508</v>
      </c>
      <c r="F5" s="8">
        <v>20</v>
      </c>
      <c r="G5" s="6" t="s">
        <v>509</v>
      </c>
      <c r="H5" s="9">
        <v>182.45</v>
      </c>
      <c r="I5" s="9">
        <v>3649</v>
      </c>
      <c r="J5" s="6" t="s">
        <v>510</v>
      </c>
      <c r="K5" t="str">
        <f>_xlfn.XLOOKUP(C5,WPN系列料号GEIM编码对照表!F:F,WPN系列料号GEIM编码对照表!B:B)</f>
        <v>LBC000069100</v>
      </c>
    </row>
    <row r="6" ht="15" spans="1:11">
      <c r="A6" s="2" t="s">
        <v>504</v>
      </c>
      <c r="B6" s="2" t="s">
        <v>518</v>
      </c>
      <c r="C6" s="3" t="s">
        <v>519</v>
      </c>
      <c r="D6" s="3" t="s">
        <v>507</v>
      </c>
      <c r="E6" s="2" t="s">
        <v>508</v>
      </c>
      <c r="F6" s="4">
        <v>8</v>
      </c>
      <c r="G6" s="2" t="s">
        <v>509</v>
      </c>
      <c r="H6" s="5">
        <v>235.89</v>
      </c>
      <c r="I6" s="5">
        <v>1887.12</v>
      </c>
      <c r="J6" s="2" t="s">
        <v>510</v>
      </c>
      <c r="K6" t="str">
        <f>_xlfn.XLOOKUP(C6,WPN系列料号GEIM编码对照表!F:F,WPN系列料号GEIM编码对照表!B:B)</f>
        <v>LBC000067900</v>
      </c>
    </row>
    <row r="7" ht="15" spans="1:11">
      <c r="A7" s="6" t="s">
        <v>504</v>
      </c>
      <c r="B7" s="6" t="s">
        <v>520</v>
      </c>
      <c r="C7" s="7" t="s">
        <v>521</v>
      </c>
      <c r="D7" s="7" t="s">
        <v>507</v>
      </c>
      <c r="E7" s="6" t="s">
        <v>508</v>
      </c>
      <c r="F7" s="8">
        <v>30</v>
      </c>
      <c r="G7" s="6" t="s">
        <v>509</v>
      </c>
      <c r="H7" s="9">
        <v>538.41</v>
      </c>
      <c r="I7" s="9">
        <v>16152.3</v>
      </c>
      <c r="J7" s="6" t="s">
        <v>510</v>
      </c>
      <c r="K7" t="str">
        <f>_xlfn.XLOOKUP(C7,WPN系列料号GEIM编码对照表!F:F,WPN系列料号GEIM编码对照表!B:B)</f>
        <v>LBC000069800</v>
      </c>
    </row>
    <row r="8" ht="15" spans="1:11">
      <c r="A8" s="2" t="s">
        <v>504</v>
      </c>
      <c r="B8" s="2" t="s">
        <v>522</v>
      </c>
      <c r="C8" s="3" t="s">
        <v>521</v>
      </c>
      <c r="D8" s="3" t="s">
        <v>507</v>
      </c>
      <c r="E8" s="2" t="s">
        <v>508</v>
      </c>
      <c r="F8" s="4">
        <v>8</v>
      </c>
      <c r="G8" s="2" t="s">
        <v>509</v>
      </c>
      <c r="H8" s="5">
        <v>538.41</v>
      </c>
      <c r="I8" s="5">
        <v>4307.28</v>
      </c>
      <c r="J8" s="2" t="s">
        <v>510</v>
      </c>
      <c r="K8" t="str">
        <f>_xlfn.XLOOKUP(C8,WPN系列料号GEIM编码对照表!F:F,WPN系列料号GEIM编码对照表!B:B)</f>
        <v>LBC000069800</v>
      </c>
    </row>
    <row r="9" ht="15" spans="1:11">
      <c r="A9" s="6" t="s">
        <v>504</v>
      </c>
      <c r="B9" s="6" t="s">
        <v>523</v>
      </c>
      <c r="C9" s="7" t="s">
        <v>521</v>
      </c>
      <c r="D9" s="7" t="s">
        <v>507</v>
      </c>
      <c r="E9" s="6" t="s">
        <v>508</v>
      </c>
      <c r="F9" s="8">
        <v>8</v>
      </c>
      <c r="G9" s="6" t="s">
        <v>509</v>
      </c>
      <c r="H9" s="9">
        <v>538.41</v>
      </c>
      <c r="I9" s="9">
        <v>4307.28</v>
      </c>
      <c r="J9" s="6" t="s">
        <v>510</v>
      </c>
      <c r="K9" t="str">
        <f>_xlfn.XLOOKUP(C9,WPN系列料号GEIM编码对照表!F:F,WPN系列料号GEIM编码对照表!B:B)</f>
        <v>LBC000069800</v>
      </c>
    </row>
    <row r="10" ht="15" spans="1:11">
      <c r="A10" s="2" t="s">
        <v>504</v>
      </c>
      <c r="B10" s="2" t="s">
        <v>524</v>
      </c>
      <c r="C10" s="3" t="s">
        <v>525</v>
      </c>
      <c r="D10" s="3" t="s">
        <v>507</v>
      </c>
      <c r="E10" s="2" t="s">
        <v>508</v>
      </c>
      <c r="F10" s="4">
        <v>8</v>
      </c>
      <c r="G10" s="2" t="s">
        <v>509</v>
      </c>
      <c r="H10" s="5">
        <v>936.69</v>
      </c>
      <c r="I10" s="5">
        <v>7493.52</v>
      </c>
      <c r="J10" s="2" t="s">
        <v>510</v>
      </c>
      <c r="K10" t="str">
        <f>_xlfn.XLOOKUP(C10,WPN系列料号GEIM编码对照表!F:F,WPN系列料号GEIM编码对照表!B:B)</f>
        <v>LBC000052200</v>
      </c>
    </row>
    <row r="11" ht="15" spans="1:11">
      <c r="A11" s="6" t="s">
        <v>504</v>
      </c>
      <c r="B11" s="6" t="s">
        <v>526</v>
      </c>
      <c r="C11" s="7" t="s">
        <v>527</v>
      </c>
      <c r="D11" s="7" t="s">
        <v>507</v>
      </c>
      <c r="E11" s="6" t="s">
        <v>508</v>
      </c>
      <c r="F11" s="8">
        <v>8</v>
      </c>
      <c r="G11" s="6" t="s">
        <v>509</v>
      </c>
      <c r="H11" s="9">
        <v>284.83</v>
      </c>
      <c r="I11" s="9">
        <v>2278.64</v>
      </c>
      <c r="J11" s="6" t="s">
        <v>510</v>
      </c>
      <c r="K11" t="str">
        <f>_xlfn.XLOOKUP(C11,WPN系列料号GEIM编码对照表!F:F,WPN系列料号GEIM编码对照表!B:B)</f>
        <v>LBC000055100</v>
      </c>
    </row>
    <row r="12" ht="15" spans="1:11">
      <c r="A12" s="2" t="s">
        <v>504</v>
      </c>
      <c r="B12" s="2" t="s">
        <v>528</v>
      </c>
      <c r="C12" s="3" t="s">
        <v>517</v>
      </c>
      <c r="D12" s="3" t="s">
        <v>507</v>
      </c>
      <c r="E12" s="2" t="s">
        <v>508</v>
      </c>
      <c r="F12" s="4">
        <v>20</v>
      </c>
      <c r="G12" s="2" t="s">
        <v>509</v>
      </c>
      <c r="H12" s="5">
        <v>182.45</v>
      </c>
      <c r="I12" s="5">
        <v>3649</v>
      </c>
      <c r="J12" s="2" t="s">
        <v>510</v>
      </c>
      <c r="K12" t="str">
        <f>_xlfn.XLOOKUP(C12,WPN系列料号GEIM编码对照表!F:F,WPN系列料号GEIM编码对照表!B:B)</f>
        <v>LBC000069100</v>
      </c>
    </row>
    <row r="13" ht="15" spans="1:11">
      <c r="A13" s="6" t="s">
        <v>504</v>
      </c>
      <c r="B13" s="6" t="s">
        <v>529</v>
      </c>
      <c r="C13" s="7" t="s">
        <v>530</v>
      </c>
      <c r="D13" s="7" t="s">
        <v>507</v>
      </c>
      <c r="E13" s="6" t="s">
        <v>508</v>
      </c>
      <c r="F13" s="8">
        <v>14</v>
      </c>
      <c r="G13" s="6" t="s">
        <v>509</v>
      </c>
      <c r="H13" s="9">
        <v>533.48</v>
      </c>
      <c r="I13" s="9">
        <v>7468.72</v>
      </c>
      <c r="J13" s="6" t="s">
        <v>510</v>
      </c>
      <c r="K13" t="str">
        <f>_xlfn.XLOOKUP(C13,WPN系列料号GEIM编码对照表!F:F,WPN系列料号GEIM编码对照表!B:B)</f>
        <v>LBC000068100</v>
      </c>
    </row>
    <row r="14" ht="15" spans="1:11">
      <c r="A14" s="2" t="s">
        <v>504</v>
      </c>
      <c r="B14" s="2" t="s">
        <v>531</v>
      </c>
      <c r="C14" s="3" t="s">
        <v>532</v>
      </c>
      <c r="D14" s="3" t="s">
        <v>507</v>
      </c>
      <c r="E14" s="2" t="s">
        <v>508</v>
      </c>
      <c r="F14" s="4">
        <v>8</v>
      </c>
      <c r="G14" s="2" t="s">
        <v>509</v>
      </c>
      <c r="H14" s="5">
        <v>619.51</v>
      </c>
      <c r="I14" s="5">
        <v>4956.08</v>
      </c>
      <c r="J14" s="2" t="s">
        <v>510</v>
      </c>
      <c r="K14" t="str">
        <f>_xlfn.XLOOKUP(C14,WPN系列料号GEIM编码对照表!F:F,WPN系列料号GEIM编码对照表!B:B)</f>
        <v>LBC000054800</v>
      </c>
    </row>
    <row r="15" ht="15" spans="1:11">
      <c r="A15" s="6" t="s">
        <v>504</v>
      </c>
      <c r="B15" s="6" t="s">
        <v>533</v>
      </c>
      <c r="C15" s="7" t="s">
        <v>534</v>
      </c>
      <c r="D15" s="7" t="s">
        <v>507</v>
      </c>
      <c r="E15" s="6" t="s">
        <v>508</v>
      </c>
      <c r="F15" s="8">
        <v>8</v>
      </c>
      <c r="G15" s="6" t="s">
        <v>509</v>
      </c>
      <c r="H15" s="9">
        <v>761.28</v>
      </c>
      <c r="I15" s="9">
        <v>6090.24</v>
      </c>
      <c r="J15" s="6" t="s">
        <v>510</v>
      </c>
      <c r="K15" t="str">
        <f>_xlfn.XLOOKUP(C15,WPN系列料号GEIM编码对照表!F:F,WPN系列料号GEIM编码对照表!B:B)</f>
        <v>LBC000071000</v>
      </c>
    </row>
    <row r="16" ht="15" spans="1:11">
      <c r="A16" s="2" t="s">
        <v>504</v>
      </c>
      <c r="B16" s="2" t="s">
        <v>535</v>
      </c>
      <c r="C16" s="3" t="s">
        <v>530</v>
      </c>
      <c r="D16" s="3" t="s">
        <v>507</v>
      </c>
      <c r="E16" s="2" t="s">
        <v>508</v>
      </c>
      <c r="F16" s="4">
        <v>8</v>
      </c>
      <c r="G16" s="2" t="s">
        <v>509</v>
      </c>
      <c r="H16" s="5">
        <v>533.48</v>
      </c>
      <c r="I16" s="5">
        <v>4267.84</v>
      </c>
      <c r="J16" s="2" t="s">
        <v>510</v>
      </c>
      <c r="K16" t="str">
        <f>_xlfn.XLOOKUP(C16,WPN系列料号GEIM编码对照表!F:F,WPN系列料号GEIM编码对照表!B:B)</f>
        <v>LBC000068100</v>
      </c>
    </row>
    <row r="17" ht="15" spans="1:11">
      <c r="A17" s="6" t="s">
        <v>504</v>
      </c>
      <c r="B17" s="6" t="s">
        <v>536</v>
      </c>
      <c r="C17" s="7" t="s">
        <v>534</v>
      </c>
      <c r="D17" s="7" t="s">
        <v>507</v>
      </c>
      <c r="E17" s="6" t="s">
        <v>508</v>
      </c>
      <c r="F17" s="8">
        <v>8</v>
      </c>
      <c r="G17" s="6" t="s">
        <v>509</v>
      </c>
      <c r="H17" s="9">
        <v>761.28</v>
      </c>
      <c r="I17" s="9">
        <v>6090.24</v>
      </c>
      <c r="J17" s="6" t="s">
        <v>510</v>
      </c>
      <c r="K17" t="str">
        <f>_xlfn.XLOOKUP(C17,WPN系列料号GEIM编码对照表!F:F,WPN系列料号GEIM编码对照表!B:B)</f>
        <v>LBC000071000</v>
      </c>
    </row>
    <row r="18" ht="15" spans="1:11">
      <c r="A18" s="6" t="s">
        <v>504</v>
      </c>
      <c r="B18" s="38" t="s">
        <v>537</v>
      </c>
      <c r="C18" s="7" t="s">
        <v>534</v>
      </c>
      <c r="D18" s="7" t="s">
        <v>507</v>
      </c>
      <c r="E18" s="6" t="s">
        <v>508</v>
      </c>
      <c r="F18" s="8">
        <v>8</v>
      </c>
      <c r="G18" s="6" t="s">
        <v>509</v>
      </c>
      <c r="H18" s="9">
        <v>761.28</v>
      </c>
      <c r="I18" s="9">
        <v>6090.24</v>
      </c>
      <c r="J18" s="6" t="s">
        <v>510</v>
      </c>
      <c r="K18" t="str">
        <f>_xlfn.XLOOKUP(C18,WPN系列料号GEIM编码对照表!F:F,WPN系列料号GEIM编码对照表!B:B)</f>
        <v>LBC000071000</v>
      </c>
    </row>
    <row r="19" ht="15" spans="1:11">
      <c r="A19" s="2" t="s">
        <v>504</v>
      </c>
      <c r="B19" s="2" t="s">
        <v>538</v>
      </c>
      <c r="C19" s="3" t="s">
        <v>539</v>
      </c>
      <c r="D19" s="3" t="s">
        <v>507</v>
      </c>
      <c r="E19" s="2" t="s">
        <v>508</v>
      </c>
      <c r="F19" s="4">
        <v>8</v>
      </c>
      <c r="G19" s="2" t="s">
        <v>509</v>
      </c>
      <c r="H19" s="5">
        <v>182.72</v>
      </c>
      <c r="I19" s="5">
        <v>1461.76</v>
      </c>
      <c r="J19" s="2" t="s">
        <v>510</v>
      </c>
      <c r="K19" t="str">
        <f>_xlfn.XLOOKUP(C19,WPN系列料号GEIM编码对照表!F:F,WPN系列料号GEIM编码对照表!B:B)</f>
        <v>LBC000067800</v>
      </c>
    </row>
    <row r="20" ht="15" spans="1:11">
      <c r="A20" s="6" t="s">
        <v>504</v>
      </c>
      <c r="B20" s="6" t="s">
        <v>540</v>
      </c>
      <c r="C20" s="7" t="s">
        <v>541</v>
      </c>
      <c r="D20" s="7" t="s">
        <v>507</v>
      </c>
      <c r="E20" s="6" t="s">
        <v>508</v>
      </c>
      <c r="F20" s="8">
        <v>8</v>
      </c>
      <c r="G20" s="6" t="s">
        <v>509</v>
      </c>
      <c r="H20" s="9">
        <v>265.78</v>
      </c>
      <c r="I20" s="9">
        <v>2126.24</v>
      </c>
      <c r="J20" s="6" t="s">
        <v>510</v>
      </c>
      <c r="K20" t="str">
        <f>_xlfn.XLOOKUP(C20,WPN系列料号GEIM编码对照表!F:F,WPN系列料号GEIM编码对照表!B:B)</f>
        <v>LBC000054100</v>
      </c>
    </row>
    <row r="21" ht="15" spans="1:11">
      <c r="A21" s="2" t="s">
        <v>504</v>
      </c>
      <c r="B21" s="2" t="s">
        <v>542</v>
      </c>
      <c r="C21" s="3" t="s">
        <v>527</v>
      </c>
      <c r="D21" s="3" t="s">
        <v>507</v>
      </c>
      <c r="E21" s="2" t="s">
        <v>508</v>
      </c>
      <c r="F21" s="4">
        <v>8</v>
      </c>
      <c r="G21" s="2" t="s">
        <v>509</v>
      </c>
      <c r="H21" s="5">
        <v>284.83</v>
      </c>
      <c r="I21" s="5">
        <v>2278.64</v>
      </c>
      <c r="J21" s="2" t="s">
        <v>510</v>
      </c>
      <c r="K21" t="str">
        <f>_xlfn.XLOOKUP(C21,WPN系列料号GEIM编码对照表!F:F,WPN系列料号GEIM编码对照表!B:B)</f>
        <v>LBC000055100</v>
      </c>
    </row>
    <row r="22" ht="15" spans="1:11">
      <c r="A22" s="6" t="s">
        <v>504</v>
      </c>
      <c r="B22" s="6" t="s">
        <v>543</v>
      </c>
      <c r="C22" s="7" t="s">
        <v>532</v>
      </c>
      <c r="D22" s="7" t="s">
        <v>507</v>
      </c>
      <c r="E22" s="6" t="s">
        <v>508</v>
      </c>
      <c r="F22" s="8">
        <v>8</v>
      </c>
      <c r="G22" s="6" t="s">
        <v>509</v>
      </c>
      <c r="H22" s="9">
        <v>619.51</v>
      </c>
      <c r="I22" s="9">
        <v>4956.08</v>
      </c>
      <c r="J22" s="6" t="s">
        <v>510</v>
      </c>
      <c r="K22" t="str">
        <f>_xlfn.XLOOKUP(C22,WPN系列料号GEIM编码对照表!F:F,WPN系列料号GEIM编码对照表!B:B)</f>
        <v>LBC000054800</v>
      </c>
    </row>
    <row r="23" ht="15" spans="1:11">
      <c r="A23" s="2" t="s">
        <v>504</v>
      </c>
      <c r="B23" s="2" t="s">
        <v>544</v>
      </c>
      <c r="C23" s="3" t="s">
        <v>525</v>
      </c>
      <c r="D23" s="3" t="s">
        <v>507</v>
      </c>
      <c r="E23" s="2" t="s">
        <v>508</v>
      </c>
      <c r="F23" s="4">
        <v>8</v>
      </c>
      <c r="G23" s="2" t="s">
        <v>509</v>
      </c>
      <c r="H23" s="5">
        <v>936.69</v>
      </c>
      <c r="I23" s="5">
        <v>7493.52</v>
      </c>
      <c r="J23" s="2" t="s">
        <v>510</v>
      </c>
      <c r="K23" t="str">
        <f>_xlfn.XLOOKUP(C23,WPN系列料号GEIM编码对照表!F:F,WPN系列料号GEIM编码对照表!B:B)</f>
        <v>LBC000052200</v>
      </c>
    </row>
    <row r="24" ht="15" spans="1:11">
      <c r="A24" s="6" t="s">
        <v>504</v>
      </c>
      <c r="B24" s="6" t="s">
        <v>545</v>
      </c>
      <c r="C24" s="7" t="s">
        <v>541</v>
      </c>
      <c r="D24" s="7" t="s">
        <v>507</v>
      </c>
      <c r="E24" s="6" t="s">
        <v>508</v>
      </c>
      <c r="F24" s="8">
        <v>8</v>
      </c>
      <c r="G24" s="6" t="s">
        <v>509</v>
      </c>
      <c r="H24" s="9">
        <v>265.78</v>
      </c>
      <c r="I24" s="9">
        <v>2126.24</v>
      </c>
      <c r="J24" s="6" t="s">
        <v>510</v>
      </c>
      <c r="K24" t="str">
        <f>_xlfn.XLOOKUP(C24,WPN系列料号GEIM编码对照表!F:F,WPN系列料号GEIM编码对照表!B:B)</f>
        <v>LBC000054100</v>
      </c>
    </row>
    <row r="25" ht="15" spans="1:11">
      <c r="A25" s="2" t="s">
        <v>546</v>
      </c>
      <c r="B25" s="2" t="s">
        <v>505</v>
      </c>
      <c r="C25" s="3" t="s">
        <v>380</v>
      </c>
      <c r="D25" s="3" t="s">
        <v>547</v>
      </c>
      <c r="E25" s="2" t="s">
        <v>548</v>
      </c>
      <c r="F25" s="4">
        <v>13</v>
      </c>
      <c r="G25" s="2" t="s">
        <v>509</v>
      </c>
      <c r="H25" s="5">
        <v>1745.25</v>
      </c>
      <c r="I25" s="5">
        <v>22688.25</v>
      </c>
      <c r="J25" s="2" t="s">
        <v>510</v>
      </c>
      <c r="K25" t="str">
        <f>_xlfn.XLOOKUP(C25,NEH系列料号GEIM编码对照表!C:C,NEH系列料号GEIM编码对照表!B:B)</f>
        <v>LNEH00003400</v>
      </c>
    </row>
    <row r="26" ht="15" spans="1:11">
      <c r="A26" s="6" t="s">
        <v>546</v>
      </c>
      <c r="B26" s="6" t="s">
        <v>511</v>
      </c>
      <c r="C26" s="7" t="s">
        <v>382</v>
      </c>
      <c r="D26" s="7" t="s">
        <v>547</v>
      </c>
      <c r="E26" s="6" t="s">
        <v>548</v>
      </c>
      <c r="F26" s="8">
        <v>18</v>
      </c>
      <c r="G26" s="6" t="s">
        <v>509</v>
      </c>
      <c r="H26" s="9">
        <v>2267.65</v>
      </c>
      <c r="I26" s="9">
        <v>40817.7</v>
      </c>
      <c r="J26" s="6" t="s">
        <v>510</v>
      </c>
      <c r="K26" t="str">
        <f>_xlfn.XLOOKUP(C26,NEH系列料号GEIM编码对照表!C:C,NEH系列料号GEIM编码对照表!B:B)</f>
        <v>LNEH00003500</v>
      </c>
    </row>
    <row r="27" ht="15" spans="1:11">
      <c r="A27" s="2" t="s">
        <v>546</v>
      </c>
      <c r="B27" s="39" t="s">
        <v>513</v>
      </c>
      <c r="C27" s="7" t="s">
        <v>388</v>
      </c>
      <c r="D27" s="3" t="s">
        <v>547</v>
      </c>
      <c r="E27" s="2" t="s">
        <v>548</v>
      </c>
      <c r="F27" s="4">
        <v>6</v>
      </c>
      <c r="G27" s="2" t="s">
        <v>509</v>
      </c>
      <c r="H27" s="5">
        <v>3014.74</v>
      </c>
      <c r="I27" s="9">
        <f>F27*H27</f>
        <v>18088.44</v>
      </c>
      <c r="J27" s="6" t="s">
        <v>510</v>
      </c>
      <c r="K27" t="str">
        <f>_xlfn.XLOOKUP(C27,NEH系列料号GEIM编码对照表!C:C,NEH系列料号GEIM编码对照表!B:B)</f>
        <v>LNEH00003800</v>
      </c>
    </row>
    <row r="28" ht="15" spans="1:11">
      <c r="A28" s="2" t="s">
        <v>546</v>
      </c>
      <c r="B28" s="2" t="s">
        <v>516</v>
      </c>
      <c r="C28" s="3" t="s">
        <v>382</v>
      </c>
      <c r="D28" s="3" t="s">
        <v>547</v>
      </c>
      <c r="E28" s="2" t="s">
        <v>548</v>
      </c>
      <c r="F28" s="4">
        <v>6</v>
      </c>
      <c r="G28" s="2" t="s">
        <v>509</v>
      </c>
      <c r="H28" s="5">
        <v>2267.65</v>
      </c>
      <c r="I28" s="5">
        <v>13605.9</v>
      </c>
      <c r="J28" s="2" t="s">
        <v>510</v>
      </c>
      <c r="K28" t="str">
        <f>_xlfn.XLOOKUP(C28,NEH系列料号GEIM编码对照表!C:C,NEH系列料号GEIM编码对照表!B:B)</f>
        <v>LNEH00003500</v>
      </c>
    </row>
    <row r="29" ht="15" spans="1:11">
      <c r="A29" s="6" t="s">
        <v>546</v>
      </c>
      <c r="B29" s="6" t="s">
        <v>518</v>
      </c>
      <c r="C29" s="7" t="s">
        <v>378</v>
      </c>
      <c r="D29" s="7" t="s">
        <v>547</v>
      </c>
      <c r="E29" s="6" t="s">
        <v>548</v>
      </c>
      <c r="F29" s="8">
        <v>6</v>
      </c>
      <c r="G29" s="6" t="s">
        <v>509</v>
      </c>
      <c r="H29" s="9">
        <v>1535.81</v>
      </c>
      <c r="I29" s="9">
        <v>9214.86</v>
      </c>
      <c r="J29" s="6" t="s">
        <v>510</v>
      </c>
      <c r="K29" t="str">
        <f>_xlfn.XLOOKUP(C29,NEH系列料号GEIM编码对照表!C:C,NEH系列料号GEIM编码对照表!B:B)</f>
        <v>LNEH00003100</v>
      </c>
    </row>
    <row r="30" ht="15" spans="1:11">
      <c r="A30" s="2" t="s">
        <v>546</v>
      </c>
      <c r="B30" s="2" t="s">
        <v>520</v>
      </c>
      <c r="C30" s="3" t="s">
        <v>384</v>
      </c>
      <c r="D30" s="3" t="s">
        <v>547</v>
      </c>
      <c r="E30" s="2" t="s">
        <v>549</v>
      </c>
      <c r="F30" s="4">
        <v>6</v>
      </c>
      <c r="G30" s="2" t="s">
        <v>509</v>
      </c>
      <c r="H30" s="5">
        <v>2797.44</v>
      </c>
      <c r="I30" s="5">
        <v>16784.64</v>
      </c>
      <c r="J30" s="2" t="s">
        <v>510</v>
      </c>
      <c r="K30" t="str">
        <f>_xlfn.XLOOKUP(C30,NEH系列料号GEIM编码对照表!C:C,NEH系列料号GEIM编码对照表!B:B)</f>
        <v>LNEH00003600</v>
      </c>
    </row>
    <row r="31" ht="15" spans="1:11">
      <c r="A31" s="6" t="s">
        <v>546</v>
      </c>
      <c r="B31" s="6" t="s">
        <v>522</v>
      </c>
      <c r="C31" s="7" t="s">
        <v>384</v>
      </c>
      <c r="D31" s="7" t="s">
        <v>547</v>
      </c>
      <c r="E31" s="6" t="s">
        <v>549</v>
      </c>
      <c r="F31" s="8">
        <v>11</v>
      </c>
      <c r="G31" s="6" t="s">
        <v>509</v>
      </c>
      <c r="H31" s="9">
        <v>2797.44</v>
      </c>
      <c r="I31" s="9">
        <v>30771.84</v>
      </c>
      <c r="J31" s="6" t="s">
        <v>510</v>
      </c>
      <c r="K31" t="str">
        <f>_xlfn.XLOOKUP(C31,NEH系列料号GEIM编码对照表!C:C,NEH系列料号GEIM编码对照表!B:B)</f>
        <v>LNEH00003600</v>
      </c>
    </row>
    <row r="32" ht="15" spans="1:11">
      <c r="A32" s="2" t="s">
        <v>546</v>
      </c>
      <c r="B32" s="2" t="s">
        <v>523</v>
      </c>
      <c r="C32" s="3" t="s">
        <v>382</v>
      </c>
      <c r="D32" s="3" t="s">
        <v>547</v>
      </c>
      <c r="E32" s="2" t="s">
        <v>548</v>
      </c>
      <c r="F32" s="4">
        <v>6</v>
      </c>
      <c r="G32" s="2" t="s">
        <v>509</v>
      </c>
      <c r="H32" s="5">
        <v>2267.65</v>
      </c>
      <c r="I32" s="5">
        <v>13605.9</v>
      </c>
      <c r="J32" s="2" t="s">
        <v>510</v>
      </c>
      <c r="K32" t="str">
        <f>_xlfn.XLOOKUP(C32,NEH系列料号GEIM编码对照表!C:C,NEH系列料号GEIM编码对照表!B:B)</f>
        <v>LNEH00003500</v>
      </c>
    </row>
    <row r="33" ht="15" spans="1:11">
      <c r="A33" s="6" t="s">
        <v>546</v>
      </c>
      <c r="B33" s="6" t="s">
        <v>524</v>
      </c>
      <c r="C33" s="7" t="s">
        <v>390</v>
      </c>
      <c r="D33" s="7" t="s">
        <v>547</v>
      </c>
      <c r="E33" s="6" t="s">
        <v>548</v>
      </c>
      <c r="F33" s="8">
        <v>6</v>
      </c>
      <c r="G33" s="6" t="s">
        <v>509</v>
      </c>
      <c r="H33" s="9">
        <v>4199.4</v>
      </c>
      <c r="I33" s="9">
        <v>25196.4</v>
      </c>
      <c r="J33" s="6" t="s">
        <v>510</v>
      </c>
      <c r="K33" t="str">
        <f>_xlfn.XLOOKUP(C33,NEH系列料号GEIM编码对照表!C:C,NEH系列料号GEIM编码对照表!B:B)</f>
        <v>LNEH00003900</v>
      </c>
    </row>
    <row r="34" ht="15" spans="1:11">
      <c r="A34" s="2" t="s">
        <v>546</v>
      </c>
      <c r="B34" s="2" t="s">
        <v>526</v>
      </c>
      <c r="C34" s="3" t="s">
        <v>380</v>
      </c>
      <c r="D34" s="3" t="s">
        <v>547</v>
      </c>
      <c r="E34" s="2" t="s">
        <v>548</v>
      </c>
      <c r="F34" s="4">
        <v>6</v>
      </c>
      <c r="G34" s="2" t="s">
        <v>509</v>
      </c>
      <c r="H34" s="5">
        <v>1745.25</v>
      </c>
      <c r="I34" s="5">
        <v>10471.5</v>
      </c>
      <c r="J34" s="2" t="s">
        <v>510</v>
      </c>
      <c r="K34" t="str">
        <f>_xlfn.XLOOKUP(C34,NEH系列料号GEIM编码对照表!C:C,NEH系列料号GEIM编码对照表!B:B)</f>
        <v>LNEH00003400</v>
      </c>
    </row>
    <row r="35" ht="15" spans="1:11">
      <c r="A35" s="6" t="s">
        <v>550</v>
      </c>
      <c r="B35" s="6" t="s">
        <v>505</v>
      </c>
      <c r="C35" s="7" t="s">
        <v>551</v>
      </c>
      <c r="D35" s="7" t="s">
        <v>507</v>
      </c>
      <c r="E35" s="6" t="s">
        <v>508</v>
      </c>
      <c r="F35" s="8">
        <v>8</v>
      </c>
      <c r="G35" s="6" t="s">
        <v>509</v>
      </c>
      <c r="H35" s="9">
        <v>474.06</v>
      </c>
      <c r="I35" s="9">
        <v>3792.48</v>
      </c>
      <c r="J35" s="6" t="s">
        <v>510</v>
      </c>
      <c r="K35" t="str">
        <f>_xlfn.XLOOKUP(C35,WPN系列料号GEIM编码对照表!F:F,WPN系列料号GEIM编码对照表!B:B)</f>
        <v>LBA000081400</v>
      </c>
    </row>
    <row r="36" ht="15" spans="1:11">
      <c r="A36" s="2" t="s">
        <v>550</v>
      </c>
      <c r="B36" s="2" t="s">
        <v>511</v>
      </c>
      <c r="C36" s="3" t="s">
        <v>552</v>
      </c>
      <c r="D36" s="3" t="s">
        <v>507</v>
      </c>
      <c r="E36" s="2" t="s">
        <v>508</v>
      </c>
      <c r="F36" s="4">
        <v>8</v>
      </c>
      <c r="G36" s="2" t="s">
        <v>509</v>
      </c>
      <c r="H36" s="5">
        <v>135.64</v>
      </c>
      <c r="I36" s="5">
        <v>1085.12</v>
      </c>
      <c r="J36" s="2" t="s">
        <v>510</v>
      </c>
      <c r="K36" t="str">
        <f>_xlfn.XLOOKUP(C36,WPN系列料号GEIM编码对照表!F:F,WPN系列料号GEIM编码对照表!B:B)</f>
        <v>LBA000089600</v>
      </c>
    </row>
    <row r="37" ht="15" spans="1:11">
      <c r="A37" s="2" t="s">
        <v>550</v>
      </c>
      <c r="B37" s="39" t="s">
        <v>513</v>
      </c>
      <c r="C37" s="3" t="s">
        <v>552</v>
      </c>
      <c r="D37" s="3" t="s">
        <v>507</v>
      </c>
      <c r="E37" s="2" t="s">
        <v>508</v>
      </c>
      <c r="F37" s="4">
        <v>8</v>
      </c>
      <c r="G37" s="2" t="s">
        <v>509</v>
      </c>
      <c r="H37" s="5">
        <v>135.64</v>
      </c>
      <c r="I37" s="5">
        <v>1085.12</v>
      </c>
      <c r="J37" s="2" t="s">
        <v>510</v>
      </c>
      <c r="K37" t="str">
        <f>_xlfn.XLOOKUP(C37,WPN系列料号GEIM编码对照表!F:F,WPN系列料号GEIM编码对照表!B:B)</f>
        <v>LBA000089600</v>
      </c>
    </row>
    <row r="38" ht="15" spans="1:11">
      <c r="A38" s="6" t="s">
        <v>550</v>
      </c>
      <c r="B38" s="6" t="s">
        <v>516</v>
      </c>
      <c r="C38" s="7" t="s">
        <v>553</v>
      </c>
      <c r="D38" s="7" t="s">
        <v>507</v>
      </c>
      <c r="E38" s="6" t="s">
        <v>508</v>
      </c>
      <c r="F38" s="8">
        <v>8</v>
      </c>
      <c r="G38" s="6" t="s">
        <v>509</v>
      </c>
      <c r="H38" s="9">
        <v>183.28</v>
      </c>
      <c r="I38" s="9">
        <v>1466.24</v>
      </c>
      <c r="J38" s="6" t="s">
        <v>510</v>
      </c>
      <c r="K38" t="str">
        <f>_xlfn.XLOOKUP(C38,WPN系列料号GEIM编码对照表!F:F,WPN系列料号GEIM编码对照表!B:B)</f>
        <v>LBC000069000</v>
      </c>
    </row>
    <row r="39" ht="15" spans="1:11">
      <c r="A39" s="2" t="s">
        <v>550</v>
      </c>
      <c r="B39" s="2" t="s">
        <v>518</v>
      </c>
      <c r="C39" s="3" t="s">
        <v>554</v>
      </c>
      <c r="D39" s="3" t="s">
        <v>507</v>
      </c>
      <c r="E39" s="2" t="s">
        <v>508</v>
      </c>
      <c r="F39" s="4">
        <v>8</v>
      </c>
      <c r="G39" s="2" t="s">
        <v>509</v>
      </c>
      <c r="H39" s="5">
        <v>292.36</v>
      </c>
      <c r="I39" s="5">
        <v>2338.88</v>
      </c>
      <c r="J39" s="2" t="s">
        <v>510</v>
      </c>
      <c r="K39" t="str">
        <f>_xlfn.XLOOKUP(C39,WPN系列料号GEIM编码对照表!F:F,WPN系列料号GEIM编码对照表!B:B)</f>
        <v>LBA000080700</v>
      </c>
    </row>
    <row r="40" ht="15" spans="1:11">
      <c r="A40" s="6" t="s">
        <v>550</v>
      </c>
      <c r="B40" s="6" t="s">
        <v>520</v>
      </c>
      <c r="C40" s="7" t="s">
        <v>467</v>
      </c>
      <c r="D40" s="7" t="s">
        <v>507</v>
      </c>
      <c r="E40" s="6" t="s">
        <v>555</v>
      </c>
      <c r="F40" s="8">
        <v>8</v>
      </c>
      <c r="G40" s="6" t="s">
        <v>509</v>
      </c>
      <c r="H40" s="9">
        <v>526.04</v>
      </c>
      <c r="I40" s="9">
        <v>4208.32</v>
      </c>
      <c r="J40" s="6" t="s">
        <v>510</v>
      </c>
      <c r="K40" t="str">
        <f>_xlfn.XLOOKUP(C40,NEXP系列料号GEIM编码对照表!C:C,NEXP系列料号GEIM编码对照表!B:B)</f>
        <v>LNEXP0012300</v>
      </c>
    </row>
    <row r="41" ht="15" spans="1:11">
      <c r="A41" s="2" t="s">
        <v>550</v>
      </c>
      <c r="B41" s="2" t="s">
        <v>522</v>
      </c>
      <c r="C41" s="3" t="s">
        <v>556</v>
      </c>
      <c r="D41" s="3" t="s">
        <v>507</v>
      </c>
      <c r="E41" s="2" t="s">
        <v>508</v>
      </c>
      <c r="F41" s="4">
        <v>8</v>
      </c>
      <c r="G41" s="2" t="s">
        <v>509</v>
      </c>
      <c r="H41" s="5">
        <v>179.94</v>
      </c>
      <c r="I41" s="5">
        <v>1439.52</v>
      </c>
      <c r="J41" s="2" t="s">
        <v>510</v>
      </c>
      <c r="K41" t="str">
        <f>_xlfn.XLOOKUP(C41,WPN系列料号GEIM编码对照表!F:F,WPN系列料号GEIM编码对照表!B:B)</f>
        <v>LBA000074100</v>
      </c>
    </row>
    <row r="42" ht="15" spans="1:11">
      <c r="A42" s="6" t="s">
        <v>550</v>
      </c>
      <c r="B42" s="6" t="s">
        <v>523</v>
      </c>
      <c r="C42" s="7" t="s">
        <v>493</v>
      </c>
      <c r="D42" s="7" t="s">
        <v>507</v>
      </c>
      <c r="E42" s="6" t="s">
        <v>508</v>
      </c>
      <c r="F42" s="8">
        <v>8</v>
      </c>
      <c r="G42" s="6" t="s">
        <v>509</v>
      </c>
      <c r="H42" s="9">
        <v>2300</v>
      </c>
      <c r="I42" s="9">
        <v>18400</v>
      </c>
      <c r="J42" s="6" t="s">
        <v>510</v>
      </c>
      <c r="K42" t="str">
        <f>_xlfn.XLOOKUP(C42,NEXP系列料号GEIM编码对照表!C:C,NEXP系列料号GEIM编码对照表!B:B)</f>
        <v>LNEXP0013600</v>
      </c>
    </row>
    <row r="43" ht="15" spans="1:11">
      <c r="A43" s="2" t="s">
        <v>550</v>
      </c>
      <c r="B43" s="2" t="s">
        <v>524</v>
      </c>
      <c r="C43" s="3" t="s">
        <v>557</v>
      </c>
      <c r="D43" s="3" t="s">
        <v>507</v>
      </c>
      <c r="E43" s="2" t="s">
        <v>508</v>
      </c>
      <c r="F43" s="4">
        <v>8</v>
      </c>
      <c r="G43" s="2" t="s">
        <v>509</v>
      </c>
      <c r="H43" s="5">
        <v>313.31</v>
      </c>
      <c r="I43" s="5">
        <v>2506.48</v>
      </c>
      <c r="J43" s="2" t="s">
        <v>510</v>
      </c>
      <c r="K43" t="str">
        <f>_xlfn.XLOOKUP(C43,WPN系列料号GEIM编码对照表!F:F,WPN系列料号GEIM编码对照表!B:B)</f>
        <v>LBC000069700</v>
      </c>
    </row>
    <row r="44" ht="15" spans="1:11">
      <c r="A44" s="6" t="s">
        <v>550</v>
      </c>
      <c r="B44" s="6" t="s">
        <v>526</v>
      </c>
      <c r="C44" s="7" t="s">
        <v>558</v>
      </c>
      <c r="D44" s="7" t="s">
        <v>507</v>
      </c>
      <c r="E44" s="6" t="s">
        <v>508</v>
      </c>
      <c r="F44" s="8">
        <v>8</v>
      </c>
      <c r="G44" s="6" t="s">
        <v>509</v>
      </c>
      <c r="H44" s="9">
        <v>681.46</v>
      </c>
      <c r="I44" s="9">
        <v>5451.68</v>
      </c>
      <c r="J44" s="6" t="s">
        <v>510</v>
      </c>
      <c r="K44" t="str">
        <f>_xlfn.XLOOKUP(C44,WPN系列料号GEIM编码对照表!F:F,WPN系列料号GEIM编码对照表!B:B)</f>
        <v>LBC000069900</v>
      </c>
    </row>
    <row r="45" ht="15" spans="1:11">
      <c r="A45" s="6" t="s">
        <v>550</v>
      </c>
      <c r="B45" s="38" t="s">
        <v>528</v>
      </c>
      <c r="C45" s="7" t="s">
        <v>559</v>
      </c>
      <c r="D45" s="7" t="s">
        <v>507</v>
      </c>
      <c r="E45" s="6" t="s">
        <v>508</v>
      </c>
      <c r="F45" s="8">
        <v>8</v>
      </c>
      <c r="G45" s="6" t="s">
        <v>509</v>
      </c>
      <c r="H45" s="9">
        <v>197.04</v>
      </c>
      <c r="I45" s="9">
        <f>H45*F45</f>
        <v>1576.32</v>
      </c>
      <c r="J45" s="6" t="s">
        <v>510</v>
      </c>
      <c r="K45" t="str">
        <f>_xlfn.XLOOKUP(C45,WPN系列料号GEIM编码对照表!F:F,WPN系列料号GEIM编码对照表!B:B)</f>
        <v>LBC000069200</v>
      </c>
    </row>
  </sheetData>
  <autoFilter xmlns:etc="http://www.wps.cn/officeDocument/2017/etCustomData" ref="A1:K45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WPN系列料号GEIM编码对照表</vt:lpstr>
      <vt:lpstr>NEH系列料号GEIM编码对照表</vt:lpstr>
      <vt:lpstr>NEXP系列料号GEIM编码对照表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马继浩</cp:lastModifiedBy>
  <dcterms:created xsi:type="dcterms:W3CDTF">2023-05-12T11:15:00Z</dcterms:created>
  <dcterms:modified xsi:type="dcterms:W3CDTF">2026-05-27T06:47:02Z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0A73BAB314D242CA89B00A1070EF1C77_12</vt:lpwstr>
  </property>
  <property fmtid="{D5CDD505-2E9C-101B-9397-08002B2CF9AE}" pid="4" name="CalculationRule">
    <vt:i4>0</vt:i4>
  </property>
</Properties>
</file>